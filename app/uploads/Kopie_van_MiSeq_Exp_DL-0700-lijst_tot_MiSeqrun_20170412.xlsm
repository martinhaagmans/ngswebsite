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855" yWindow="165" windowWidth="18000" windowHeight="12285" tabRatio="715" activeTab="6"/>
  </bookViews>
  <sheets>
    <sheet name="1-Serie uit 0-lijst" sheetId="1" r:id="rId1"/>
    <sheet name="2-DNA voor shearen" sheetId="2" r:id="rId2"/>
    <sheet name="4-Overpipetteren naar snapcap" sheetId="3" r:id="rId3"/>
    <sheet name="5-Library met Index" sheetId="4" r:id="rId4"/>
    <sheet name="6-Indeling van de capture" sheetId="5" r:id="rId5"/>
    <sheet name="7-Berekening mengverh. captures" sheetId="6" r:id="rId6"/>
    <sheet name="8-MiSeq" sheetId="7" r:id="rId7"/>
  </sheets>
  <functionGroups builtInGroupCount="17"/>
  <externalReferences>
    <externalReference r:id="rId8"/>
  </externalReferences>
  <definedNames>
    <definedName name="_xlnm.Print_Area" localSheetId="1">'2-DNA voor shearen'!$B$9:$L$76</definedName>
    <definedName name="_xlnm.Print_Area" localSheetId="3">'5-Library met Index'!$C$5:$G$29</definedName>
  </definedNames>
  <calcPr calcId="145621"/>
</workbook>
</file>

<file path=xl/calcChain.xml><?xml version="1.0" encoding="utf-8"?>
<calcChain xmlns="http://schemas.openxmlformats.org/spreadsheetml/2006/main">
  <c r="G14" i="5" l="1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13" i="5"/>
  <c r="A8" i="6" l="1"/>
  <c r="A14" i="7" l="1"/>
  <c r="A20" i="7" l="1"/>
  <c r="A19" i="7"/>
  <c r="A18" i="7"/>
  <c r="A17" i="7"/>
  <c r="F20" i="7" l="1"/>
  <c r="D20" i="7"/>
  <c r="D19" i="7"/>
  <c r="F19" i="7" s="1"/>
  <c r="D18" i="7"/>
  <c r="F18" i="7" s="1"/>
  <c r="D17" i="7"/>
  <c r="F17" i="7" s="1"/>
  <c r="D16" i="7"/>
  <c r="F16" i="7" s="1"/>
  <c r="A16" i="7"/>
  <c r="B19" i="6"/>
  <c r="B16" i="6"/>
  <c r="C55" i="5"/>
  <c r="D55" i="5"/>
  <c r="E55" i="5"/>
  <c r="C56" i="5"/>
  <c r="D56" i="5"/>
  <c r="E56" i="5"/>
  <c r="C57" i="5"/>
  <c r="D57" i="5"/>
  <c r="E57" i="5"/>
  <c r="C58" i="5"/>
  <c r="D58" i="5"/>
  <c r="E58" i="5"/>
  <c r="C59" i="5"/>
  <c r="D59" i="5"/>
  <c r="E59" i="5"/>
  <c r="C60" i="5"/>
  <c r="D60" i="5"/>
  <c r="E60" i="5"/>
  <c r="C61" i="5"/>
  <c r="D61" i="5"/>
  <c r="E61" i="5"/>
  <c r="C62" i="5"/>
  <c r="D62" i="5"/>
  <c r="E62" i="5"/>
  <c r="C63" i="5"/>
  <c r="D63" i="5"/>
  <c r="E63" i="5"/>
  <c r="C64" i="5"/>
  <c r="D64" i="5"/>
  <c r="E64" i="5"/>
  <c r="C65" i="5"/>
  <c r="D65" i="5"/>
  <c r="E65" i="5"/>
  <c r="C66" i="5"/>
  <c r="D66" i="5"/>
  <c r="E66" i="5"/>
  <c r="C67" i="5"/>
  <c r="D67" i="5"/>
  <c r="E67" i="5"/>
  <c r="C68" i="5"/>
  <c r="D68" i="5"/>
  <c r="E68" i="5"/>
  <c r="C69" i="5"/>
  <c r="D69" i="5"/>
  <c r="E69" i="5"/>
  <c r="C70" i="5"/>
  <c r="D70" i="5"/>
  <c r="E70" i="5"/>
  <c r="C71" i="5"/>
  <c r="D71" i="5"/>
  <c r="E71" i="5"/>
  <c r="C72" i="5"/>
  <c r="D72" i="5"/>
  <c r="E72" i="5"/>
  <c r="D38" i="5"/>
  <c r="D39" i="5"/>
  <c r="D40" i="5"/>
  <c r="C41" i="5"/>
  <c r="D41" i="5"/>
  <c r="D42" i="5"/>
  <c r="D43" i="5"/>
  <c r="D44" i="5"/>
  <c r="C45" i="5"/>
  <c r="D45" i="5"/>
  <c r="D46" i="5"/>
  <c r="D47" i="5"/>
  <c r="E47" i="5"/>
  <c r="D48" i="5"/>
  <c r="C49" i="5"/>
  <c r="D49" i="5"/>
  <c r="D50" i="5"/>
  <c r="D51" i="5"/>
  <c r="D52" i="5"/>
  <c r="C53" i="5"/>
  <c r="D53" i="5"/>
  <c r="E53" i="5"/>
  <c r="C54" i="5"/>
  <c r="D54" i="5"/>
  <c r="E54" i="5"/>
  <c r="D26" i="5"/>
  <c r="D27" i="5"/>
  <c r="D28" i="5"/>
  <c r="D29" i="5"/>
  <c r="D30" i="5"/>
  <c r="D31" i="5"/>
  <c r="D32" i="5"/>
  <c r="D33" i="5"/>
  <c r="D34" i="5"/>
  <c r="D35" i="5"/>
  <c r="D36" i="5"/>
  <c r="C37" i="5"/>
  <c r="D37" i="5"/>
  <c r="E30" i="4"/>
  <c r="E37" i="5"/>
  <c r="E31" i="4"/>
  <c r="C38" i="5" s="1"/>
  <c r="E38" i="5"/>
  <c r="E32" i="4"/>
  <c r="C39" i="5" s="1"/>
  <c r="E39" i="5"/>
  <c r="E33" i="4"/>
  <c r="C40" i="5" s="1"/>
  <c r="E40" i="5"/>
  <c r="E34" i="4"/>
  <c r="E41" i="5"/>
  <c r="E35" i="4"/>
  <c r="C42" i="5" s="1"/>
  <c r="E42" i="5"/>
  <c r="E36" i="4"/>
  <c r="C43" i="5" s="1"/>
  <c r="E43" i="5"/>
  <c r="E37" i="4"/>
  <c r="C44" i="5" s="1"/>
  <c r="E44" i="5"/>
  <c r="E38" i="4"/>
  <c r="E45" i="5"/>
  <c r="E39" i="4"/>
  <c r="C46" i="5" s="1"/>
  <c r="E46" i="5"/>
  <c r="E40" i="4"/>
  <c r="C47" i="5" s="1"/>
  <c r="E41" i="4"/>
  <c r="C48" i="5" s="1"/>
  <c r="E48" i="5"/>
  <c r="E42" i="4"/>
  <c r="E49" i="5"/>
  <c r="E43" i="4"/>
  <c r="C50" i="5" s="1"/>
  <c r="E50" i="5"/>
  <c r="E44" i="4"/>
  <c r="C51" i="5" s="1"/>
  <c r="E51" i="5"/>
  <c r="E45" i="4"/>
  <c r="C52" i="5" s="1"/>
  <c r="E52" i="5"/>
  <c r="E46" i="4"/>
  <c r="G46" i="4"/>
  <c r="E47" i="4"/>
  <c r="G47" i="4"/>
  <c r="E48" i="4"/>
  <c r="G48" i="4"/>
  <c r="E49" i="4"/>
  <c r="G49" i="4"/>
  <c r="E50" i="4"/>
  <c r="G50" i="4"/>
  <c r="E51" i="4"/>
  <c r="G51" i="4"/>
  <c r="E52" i="4"/>
  <c r="G52" i="4"/>
  <c r="E53" i="4"/>
  <c r="G53" i="4"/>
  <c r="E54" i="4"/>
  <c r="G54" i="4"/>
  <c r="E55" i="4"/>
  <c r="G55" i="4"/>
  <c r="E56" i="4"/>
  <c r="G56" i="4"/>
  <c r="E57" i="4"/>
  <c r="G57" i="4"/>
  <c r="E58" i="4"/>
  <c r="G58" i="4"/>
  <c r="E59" i="4"/>
  <c r="G59" i="4"/>
  <c r="E60" i="4"/>
  <c r="G60" i="4"/>
  <c r="E61" i="4"/>
  <c r="G61" i="4"/>
  <c r="E62" i="4"/>
  <c r="G62" i="4"/>
  <c r="E63" i="4"/>
  <c r="G63" i="4"/>
  <c r="E64" i="4"/>
  <c r="G64" i="4"/>
  <c r="E65" i="4"/>
  <c r="G65" i="4"/>
  <c r="E66" i="4"/>
  <c r="G66" i="4"/>
  <c r="B61" i="3"/>
  <c r="C61" i="3"/>
  <c r="B62" i="3"/>
  <c r="C62" i="3"/>
  <c r="B63" i="3"/>
  <c r="C63" i="3"/>
  <c r="B36" i="3"/>
  <c r="B37" i="3"/>
  <c r="B38" i="3"/>
  <c r="B39" i="3"/>
  <c r="B40" i="3"/>
  <c r="B41" i="3"/>
  <c r="B42" i="3"/>
  <c r="B43" i="3"/>
  <c r="B44" i="3"/>
  <c r="C44" i="3"/>
  <c r="B45" i="3"/>
  <c r="C45" i="3"/>
  <c r="B46" i="3"/>
  <c r="C46" i="3"/>
  <c r="B47" i="3"/>
  <c r="C47" i="3"/>
  <c r="B48" i="3"/>
  <c r="C48" i="3"/>
  <c r="B49" i="3"/>
  <c r="C49" i="3"/>
  <c r="B50" i="3"/>
  <c r="C50" i="3"/>
  <c r="B51" i="3"/>
  <c r="C51" i="3"/>
  <c r="B52" i="3"/>
  <c r="C52" i="3"/>
  <c r="B53" i="3"/>
  <c r="C53" i="3"/>
  <c r="B54" i="3"/>
  <c r="C54" i="3"/>
  <c r="B55" i="3"/>
  <c r="C55" i="3"/>
  <c r="B56" i="3"/>
  <c r="C56" i="3"/>
  <c r="B57" i="3"/>
  <c r="C57" i="3"/>
  <c r="B58" i="3"/>
  <c r="C58" i="3"/>
  <c r="B59" i="3"/>
  <c r="C59" i="3"/>
  <c r="B60" i="3"/>
  <c r="C60" i="3"/>
  <c r="B28" i="3"/>
  <c r="B29" i="3"/>
  <c r="B30" i="3"/>
  <c r="B31" i="3"/>
  <c r="B32" i="3"/>
  <c r="B33" i="3"/>
  <c r="B34" i="3"/>
  <c r="B35" i="3"/>
  <c r="H76" i="2" l="1"/>
  <c r="I76" i="2" s="1"/>
  <c r="L76" i="2" s="1"/>
  <c r="H75" i="2"/>
  <c r="H74" i="2"/>
  <c r="H73" i="2"/>
  <c r="H72" i="2"/>
  <c r="I72" i="2" s="1"/>
  <c r="L72" i="2" s="1"/>
  <c r="H71" i="2"/>
  <c r="H70" i="2"/>
  <c r="H69" i="2"/>
  <c r="I69" i="2" s="1"/>
  <c r="H68" i="2"/>
  <c r="I68" i="2" s="1"/>
  <c r="L68" i="2" s="1"/>
  <c r="H67" i="2"/>
  <c r="H66" i="2"/>
  <c r="H65" i="2"/>
  <c r="I65" i="2" s="1"/>
  <c r="H64" i="2"/>
  <c r="H63" i="2"/>
  <c r="H62" i="2"/>
  <c r="I62" i="2" s="1"/>
  <c r="H61" i="2"/>
  <c r="H60" i="2"/>
  <c r="I60" i="2" s="1"/>
  <c r="L60" i="2" s="1"/>
  <c r="H59" i="2"/>
  <c r="H58" i="2"/>
  <c r="H57" i="2"/>
  <c r="I56" i="2"/>
  <c r="L56" i="2" s="1"/>
  <c r="I54" i="2"/>
  <c r="K54" i="2" s="1"/>
  <c r="I53" i="2"/>
  <c r="I52" i="2"/>
  <c r="L52" i="2" s="1"/>
  <c r="I50" i="2"/>
  <c r="L50" i="2" s="1"/>
  <c r="I49" i="2"/>
  <c r="I48" i="2"/>
  <c r="L48" i="2" s="1"/>
  <c r="I47" i="2"/>
  <c r="L47" i="2" s="1"/>
  <c r="I46" i="2"/>
  <c r="I44" i="2"/>
  <c r="L44" i="2" s="1"/>
  <c r="I43" i="2"/>
  <c r="L43" i="2" s="1"/>
  <c r="I42" i="2"/>
  <c r="L42" i="2" s="1"/>
  <c r="I41" i="2"/>
  <c r="I40" i="2"/>
  <c r="L40" i="2" s="1"/>
  <c r="I39" i="2"/>
  <c r="L39" i="2" s="1"/>
  <c r="I38" i="2"/>
  <c r="I37" i="2"/>
  <c r="I36" i="2"/>
  <c r="L36" i="2" s="1"/>
  <c r="I35" i="2"/>
  <c r="L35" i="2" s="1"/>
  <c r="I34" i="2"/>
  <c r="L34" i="2" s="1"/>
  <c r="I33" i="2"/>
  <c r="I31" i="2"/>
  <c r="L31" i="2" s="1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J76" i="2"/>
  <c r="G76" i="2"/>
  <c r="F76" i="2"/>
  <c r="C76" i="2"/>
  <c r="B76" i="2"/>
  <c r="J75" i="2"/>
  <c r="I75" i="2"/>
  <c r="L75" i="2" s="1"/>
  <c r="F75" i="2"/>
  <c r="G75" i="2" s="1"/>
  <c r="C75" i="2"/>
  <c r="B75" i="2"/>
  <c r="L74" i="2"/>
  <c r="K74" i="2"/>
  <c r="J74" i="2"/>
  <c r="I74" i="2"/>
  <c r="F74" i="2"/>
  <c r="G74" i="2" s="1"/>
  <c r="C74" i="2"/>
  <c r="B74" i="2"/>
  <c r="J73" i="2"/>
  <c r="I73" i="2"/>
  <c r="K73" i="2" s="1"/>
  <c r="G73" i="2"/>
  <c r="F73" i="2"/>
  <c r="C73" i="2"/>
  <c r="B73" i="2"/>
  <c r="J72" i="2"/>
  <c r="G72" i="2"/>
  <c r="F72" i="2"/>
  <c r="C72" i="2"/>
  <c r="B72" i="2"/>
  <c r="J71" i="2"/>
  <c r="I71" i="2"/>
  <c r="L71" i="2" s="1"/>
  <c r="F71" i="2"/>
  <c r="G71" i="2" s="1"/>
  <c r="C71" i="2"/>
  <c r="B71" i="2"/>
  <c r="L70" i="2"/>
  <c r="J70" i="2"/>
  <c r="I70" i="2"/>
  <c r="K70" i="2" s="1"/>
  <c r="F70" i="2"/>
  <c r="G70" i="2" s="1"/>
  <c r="C70" i="2"/>
  <c r="B70" i="2"/>
  <c r="J69" i="2"/>
  <c r="G69" i="2"/>
  <c r="F69" i="2"/>
  <c r="C69" i="2"/>
  <c r="B69" i="2"/>
  <c r="J68" i="2"/>
  <c r="G68" i="2"/>
  <c r="F68" i="2"/>
  <c r="C68" i="2"/>
  <c r="B68" i="2"/>
  <c r="J67" i="2"/>
  <c r="K67" i="2" s="1"/>
  <c r="I67" i="2"/>
  <c r="L67" i="2" s="1"/>
  <c r="F67" i="2"/>
  <c r="G67" i="2" s="1"/>
  <c r="C67" i="2"/>
  <c r="B67" i="2"/>
  <c r="J66" i="2"/>
  <c r="I66" i="2"/>
  <c r="L66" i="2" s="1"/>
  <c r="F66" i="2"/>
  <c r="G66" i="2" s="1"/>
  <c r="C66" i="2"/>
  <c r="B66" i="2"/>
  <c r="J65" i="2"/>
  <c r="G65" i="2"/>
  <c r="F65" i="2"/>
  <c r="C65" i="2"/>
  <c r="B65" i="2"/>
  <c r="J64" i="2"/>
  <c r="I64" i="2"/>
  <c r="L64" i="2" s="1"/>
  <c r="G64" i="2"/>
  <c r="F64" i="2"/>
  <c r="C64" i="2"/>
  <c r="B64" i="2"/>
  <c r="J63" i="2"/>
  <c r="I63" i="2"/>
  <c r="L63" i="2" s="1"/>
  <c r="F63" i="2"/>
  <c r="G63" i="2" s="1"/>
  <c r="C63" i="2"/>
  <c r="B63" i="2"/>
  <c r="J62" i="2"/>
  <c r="F62" i="2"/>
  <c r="G62" i="2" s="1"/>
  <c r="C62" i="2"/>
  <c r="B62" i="2"/>
  <c r="J61" i="2"/>
  <c r="I61" i="2"/>
  <c r="K61" i="2" s="1"/>
  <c r="G61" i="2"/>
  <c r="F61" i="2"/>
  <c r="C61" i="2"/>
  <c r="B61" i="2"/>
  <c r="J60" i="2"/>
  <c r="G60" i="2"/>
  <c r="F60" i="2"/>
  <c r="C60" i="2"/>
  <c r="B60" i="2"/>
  <c r="J59" i="2"/>
  <c r="I59" i="2"/>
  <c r="L59" i="2" s="1"/>
  <c r="F59" i="2"/>
  <c r="G59" i="2" s="1"/>
  <c r="C59" i="2"/>
  <c r="B59" i="2"/>
  <c r="L58" i="2"/>
  <c r="K58" i="2"/>
  <c r="J58" i="2"/>
  <c r="I58" i="2"/>
  <c r="F58" i="2"/>
  <c r="G58" i="2" s="1"/>
  <c r="C58" i="2"/>
  <c r="B58" i="2"/>
  <c r="J57" i="2"/>
  <c r="I57" i="2"/>
  <c r="K57" i="2" s="1"/>
  <c r="G57" i="2"/>
  <c r="F57" i="2"/>
  <c r="C57" i="2"/>
  <c r="B57" i="2"/>
  <c r="J56" i="2"/>
  <c r="F56" i="2"/>
  <c r="G56" i="2" s="1"/>
  <c r="B56" i="2"/>
  <c r="J55" i="2"/>
  <c r="I55" i="2"/>
  <c r="L55" i="2" s="1"/>
  <c r="F55" i="2"/>
  <c r="G55" i="2" s="1"/>
  <c r="B55" i="2"/>
  <c r="J54" i="2"/>
  <c r="F54" i="2"/>
  <c r="G54" i="2" s="1"/>
  <c r="B54" i="2"/>
  <c r="J53" i="2"/>
  <c r="F53" i="2"/>
  <c r="G53" i="2" s="1"/>
  <c r="B53" i="2"/>
  <c r="J52" i="2"/>
  <c r="F52" i="2"/>
  <c r="G52" i="2" s="1"/>
  <c r="B52" i="2"/>
  <c r="J51" i="2"/>
  <c r="I51" i="2"/>
  <c r="L51" i="2" s="1"/>
  <c r="F51" i="2"/>
  <c r="G51" i="2" s="1"/>
  <c r="B51" i="2"/>
  <c r="J50" i="2"/>
  <c r="F50" i="2"/>
  <c r="G50" i="2" s="1"/>
  <c r="B50" i="2"/>
  <c r="J49" i="2"/>
  <c r="F49" i="2"/>
  <c r="G49" i="2" s="1"/>
  <c r="B49" i="2"/>
  <c r="J48" i="2"/>
  <c r="F48" i="2"/>
  <c r="G48" i="2" s="1"/>
  <c r="B48" i="2"/>
  <c r="J47" i="2"/>
  <c r="F47" i="2"/>
  <c r="G47" i="2" s="1"/>
  <c r="B47" i="2"/>
  <c r="J46" i="2"/>
  <c r="F46" i="2"/>
  <c r="G46" i="2" s="1"/>
  <c r="B46" i="2"/>
  <c r="J45" i="2"/>
  <c r="I45" i="2"/>
  <c r="F45" i="2"/>
  <c r="G45" i="2" s="1"/>
  <c r="B45" i="2"/>
  <c r="J44" i="2"/>
  <c r="F44" i="2"/>
  <c r="G44" i="2" s="1"/>
  <c r="B44" i="2"/>
  <c r="J43" i="2"/>
  <c r="F43" i="2"/>
  <c r="G43" i="2" s="1"/>
  <c r="B43" i="2"/>
  <c r="J42" i="2"/>
  <c r="F42" i="2"/>
  <c r="G42" i="2" s="1"/>
  <c r="B42" i="2"/>
  <c r="J41" i="2"/>
  <c r="F41" i="2"/>
  <c r="G41" i="2" s="1"/>
  <c r="B41" i="2"/>
  <c r="J40" i="2"/>
  <c r="F40" i="2"/>
  <c r="G40" i="2" s="1"/>
  <c r="B40" i="2"/>
  <c r="J39" i="2"/>
  <c r="F39" i="2"/>
  <c r="G39" i="2" s="1"/>
  <c r="B39" i="2"/>
  <c r="J38" i="2"/>
  <c r="F38" i="2"/>
  <c r="G38" i="2" s="1"/>
  <c r="B38" i="2"/>
  <c r="J37" i="2"/>
  <c r="F37" i="2"/>
  <c r="G37" i="2" s="1"/>
  <c r="B37" i="2"/>
  <c r="J36" i="2"/>
  <c r="F36" i="2"/>
  <c r="G36" i="2" s="1"/>
  <c r="B36" i="2"/>
  <c r="J35" i="2"/>
  <c r="F35" i="2"/>
  <c r="G35" i="2" s="1"/>
  <c r="B35" i="2"/>
  <c r="J34" i="2"/>
  <c r="F34" i="2"/>
  <c r="G34" i="2" s="1"/>
  <c r="B34" i="2"/>
  <c r="J33" i="2"/>
  <c r="F33" i="2"/>
  <c r="G33" i="2" s="1"/>
  <c r="B33" i="2"/>
  <c r="J32" i="2"/>
  <c r="I32" i="2"/>
  <c r="L32" i="2" s="1"/>
  <c r="F32" i="2"/>
  <c r="G32" i="2" s="1"/>
  <c r="B32" i="2"/>
  <c r="J31" i="2"/>
  <c r="F31" i="2"/>
  <c r="G31" i="2" s="1"/>
  <c r="B31" i="2"/>
  <c r="K41" i="2" l="1"/>
  <c r="K38" i="2"/>
  <c r="K51" i="2"/>
  <c r="L54" i="2"/>
  <c r="K45" i="2"/>
  <c r="K42" i="2"/>
  <c r="L38" i="2"/>
  <c r="K35" i="2"/>
  <c r="K33" i="2"/>
  <c r="L33" i="2"/>
  <c r="K37" i="2"/>
  <c r="L37" i="2"/>
  <c r="K49" i="2"/>
  <c r="L49" i="2"/>
  <c r="K53" i="2"/>
  <c r="L53" i="2"/>
  <c r="K65" i="2"/>
  <c r="L65" i="2"/>
  <c r="K69" i="2"/>
  <c r="L69" i="2"/>
  <c r="L46" i="2"/>
  <c r="K46" i="2"/>
  <c r="L62" i="2"/>
  <c r="K62" i="2"/>
  <c r="K44" i="2"/>
  <c r="K60" i="2"/>
  <c r="K32" i="2"/>
  <c r="K39" i="2"/>
  <c r="K48" i="2"/>
  <c r="K55" i="2"/>
  <c r="K64" i="2"/>
  <c r="K71" i="2"/>
  <c r="K34" i="2"/>
  <c r="K36" i="2"/>
  <c r="L41" i="2"/>
  <c r="K43" i="2"/>
  <c r="K50" i="2"/>
  <c r="K52" i="2"/>
  <c r="L57" i="2"/>
  <c r="K59" i="2"/>
  <c r="K66" i="2"/>
  <c r="K68" i="2"/>
  <c r="L73" i="2"/>
  <c r="K75" i="2"/>
  <c r="K31" i="2"/>
  <c r="K40" i="2"/>
  <c r="L45" i="2"/>
  <c r="K47" i="2"/>
  <c r="K56" i="2"/>
  <c r="L61" i="2"/>
  <c r="K63" i="2"/>
  <c r="K72" i="2"/>
  <c r="K76" i="2"/>
  <c r="J30" i="2" l="1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F30" i="2" l="1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I18" i="2" l="1"/>
  <c r="I19" i="2"/>
  <c r="I20" i="2"/>
  <c r="I21" i="2"/>
  <c r="I22" i="2"/>
  <c r="I23" i="2"/>
  <c r="I24" i="2"/>
  <c r="I25" i="2"/>
  <c r="I26" i="2"/>
  <c r="I27" i="2"/>
  <c r="I28" i="2"/>
  <c r="I29" i="2"/>
  <c r="I30" i="2"/>
  <c r="I17" i="2"/>
  <c r="B80" i="2" l="1"/>
  <c r="C80" i="2"/>
  <c r="B81" i="2"/>
  <c r="C81" i="2"/>
  <c r="E29" i="4" l="1"/>
  <c r="C36" i="5" s="1"/>
  <c r="E36" i="5"/>
  <c r="B27" i="3"/>
  <c r="E26" i="4" l="1"/>
  <c r="C33" i="5" s="1"/>
  <c r="E33" i="5"/>
  <c r="E27" i="4"/>
  <c r="C34" i="5" s="1"/>
  <c r="E34" i="5"/>
  <c r="E28" i="4"/>
  <c r="C35" i="5" s="1"/>
  <c r="E35" i="5"/>
  <c r="B24" i="3"/>
  <c r="B25" i="3"/>
  <c r="B26" i="3"/>
  <c r="B86" i="2"/>
  <c r="C86" i="2"/>
  <c r="B27" i="2" l="1"/>
  <c r="B22" i="2"/>
  <c r="B20" i="2"/>
  <c r="C82" i="2"/>
  <c r="C83" i="2"/>
  <c r="C84" i="2"/>
  <c r="C85" i="2"/>
  <c r="B85" i="2"/>
  <c r="B84" i="2"/>
  <c r="B83" i="2"/>
  <c r="B82" i="2"/>
  <c r="G86" i="2"/>
  <c r="J86" i="2" s="1"/>
  <c r="I86" i="2"/>
  <c r="L86" i="2" s="1"/>
  <c r="K86" i="2" l="1"/>
  <c r="E26" i="5" l="1"/>
  <c r="E27" i="5"/>
  <c r="E28" i="5"/>
  <c r="E29" i="5"/>
  <c r="E30" i="5"/>
  <c r="E31" i="5"/>
  <c r="E32" i="5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C26" i="5" s="1"/>
  <c r="E20" i="4"/>
  <c r="C27" i="5" s="1"/>
  <c r="E21" i="4"/>
  <c r="C28" i="5" s="1"/>
  <c r="E22" i="4"/>
  <c r="C29" i="5" s="1"/>
  <c r="E23" i="4"/>
  <c r="C30" i="5" s="1"/>
  <c r="E24" i="4"/>
  <c r="C31" i="5" s="1"/>
  <c r="E25" i="4"/>
  <c r="C32" i="5" s="1"/>
  <c r="E6" i="4"/>
  <c r="B6" i="3"/>
  <c r="B7" i="3"/>
  <c r="B8" i="3"/>
  <c r="B9" i="3"/>
  <c r="B10" i="3"/>
  <c r="B11" i="3"/>
  <c r="B12" i="3"/>
  <c r="I81" i="2"/>
  <c r="L81" i="2" s="1"/>
  <c r="I82" i="2"/>
  <c r="L82" i="2" s="1"/>
  <c r="I83" i="2"/>
  <c r="L83" i="2" s="1"/>
  <c r="I84" i="2"/>
  <c r="L84" i="2" s="1"/>
  <c r="I85" i="2"/>
  <c r="L85" i="2" s="1"/>
  <c r="G81" i="2"/>
  <c r="J81" i="2" s="1"/>
  <c r="G82" i="2"/>
  <c r="J82" i="2" s="1"/>
  <c r="K82" i="2" s="1"/>
  <c r="G83" i="2"/>
  <c r="J83" i="2" s="1"/>
  <c r="G84" i="2"/>
  <c r="J84" i="2" s="1"/>
  <c r="G85" i="2"/>
  <c r="J85" i="2" s="1"/>
  <c r="I80" i="2"/>
  <c r="L80" i="2" s="1"/>
  <c r="G80" i="2"/>
  <c r="J80" i="2" s="1"/>
  <c r="K84" i="2" l="1"/>
  <c r="K80" i="2"/>
  <c r="K83" i="2"/>
  <c r="K85" i="2"/>
  <c r="K81" i="2"/>
  <c r="C14" i="5" l="1"/>
  <c r="D14" i="5"/>
  <c r="E14" i="5"/>
  <c r="C15" i="5"/>
  <c r="D15" i="5"/>
  <c r="E15" i="5"/>
  <c r="C16" i="5"/>
  <c r="D16" i="5"/>
  <c r="E16" i="5"/>
  <c r="C17" i="5"/>
  <c r="D17" i="5"/>
  <c r="E17" i="5"/>
  <c r="C18" i="5"/>
  <c r="D18" i="5"/>
  <c r="E18" i="5"/>
  <c r="C19" i="5"/>
  <c r="D19" i="5"/>
  <c r="E19" i="5"/>
  <c r="C20" i="5"/>
  <c r="D20" i="5"/>
  <c r="E20" i="5"/>
  <c r="C21" i="5"/>
  <c r="D21" i="5"/>
  <c r="E21" i="5"/>
  <c r="C22" i="5"/>
  <c r="D22" i="5"/>
  <c r="E22" i="5"/>
  <c r="C23" i="5"/>
  <c r="D23" i="5"/>
  <c r="E23" i="5"/>
  <c r="C24" i="5"/>
  <c r="D24" i="5"/>
  <c r="E24" i="5"/>
  <c r="C25" i="5"/>
  <c r="D25" i="5"/>
  <c r="E25" i="5"/>
  <c r="C13" i="5"/>
  <c r="D13" i="5"/>
  <c r="E13" i="5"/>
  <c r="B5" i="3" l="1"/>
  <c r="B13" i="3"/>
  <c r="B14" i="3"/>
  <c r="B15" i="3"/>
  <c r="B16" i="3"/>
  <c r="B17" i="3"/>
  <c r="B18" i="3"/>
  <c r="B19" i="3"/>
  <c r="B20" i="3"/>
  <c r="B21" i="3"/>
  <c r="B22" i="3"/>
  <c r="B23" i="3"/>
  <c r="B4" i="3"/>
  <c r="L18" i="2" l="1"/>
  <c r="L19" i="2"/>
  <c r="L20" i="2"/>
  <c r="L21" i="2"/>
  <c r="L22" i="2"/>
  <c r="L23" i="2"/>
  <c r="L24" i="2"/>
  <c r="L25" i="2"/>
  <c r="L26" i="2"/>
  <c r="L27" i="2"/>
  <c r="L28" i="2"/>
  <c r="L29" i="2"/>
  <c r="L30" i="2"/>
  <c r="L17" i="2"/>
  <c r="B18" i="2"/>
  <c r="B19" i="2"/>
  <c r="B21" i="2"/>
  <c r="B23" i="2"/>
  <c r="B24" i="2"/>
  <c r="B25" i="2"/>
  <c r="B26" i="2"/>
  <c r="B28" i="2"/>
  <c r="B29" i="2"/>
  <c r="B30" i="2"/>
  <c r="B17" i="2"/>
  <c r="A10" i="5"/>
  <c r="A1" i="4"/>
  <c r="A1" i="3"/>
  <c r="B9" i="2"/>
  <c r="G29" i="2" l="1"/>
  <c r="G27" i="2"/>
  <c r="K27" i="2" s="1"/>
  <c r="G23" i="2"/>
  <c r="K23" i="2" s="1"/>
  <c r="G19" i="2"/>
  <c r="K19" i="2" s="1"/>
  <c r="G28" i="2"/>
  <c r="K28" i="2" s="1"/>
  <c r="G24" i="2"/>
  <c r="K24" i="2" s="1"/>
  <c r="G20" i="2"/>
  <c r="K20" i="2" s="1"/>
  <c r="G25" i="2"/>
  <c r="K25" i="2" s="1"/>
  <c r="G21" i="2"/>
  <c r="K21" i="2" s="1"/>
  <c r="G17" i="2"/>
  <c r="K17" i="2" s="1"/>
  <c r="G30" i="2"/>
  <c r="K30" i="2" s="1"/>
  <c r="G26" i="2"/>
  <c r="K26" i="2" s="1"/>
  <c r="G22" i="2"/>
  <c r="K22" i="2" s="1"/>
  <c r="G18" i="2"/>
  <c r="K18" i="2" s="1"/>
  <c r="K29" i="2" l="1"/>
</calcChain>
</file>

<file path=xl/sharedStrings.xml><?xml version="1.0" encoding="utf-8"?>
<sst xmlns="http://schemas.openxmlformats.org/spreadsheetml/2006/main" count="607" uniqueCount="304">
  <si>
    <t>Genesis exp.nr:</t>
  </si>
  <si>
    <t>MiSeq DNA</t>
  </si>
  <si>
    <t>Pakket</t>
  </si>
  <si>
    <t>Sanger DNA</t>
  </si>
  <si>
    <t>2: DNA voor shearen</t>
  </si>
  <si>
    <t>afwijkende berekening dan aangegeven staat bovenin de kolom, voor het overpipetteren in crimpcap</t>
  </si>
  <si>
    <t>afwijkende berekening dan aangegeven staat bovenin de kolom, voor het overpipetteren uit het stock DNA</t>
  </si>
  <si>
    <t>Gebruik hiervoor Low-binding eppen!</t>
  </si>
  <si>
    <t>D-nummer</t>
  </si>
  <si>
    <t>Locatie</t>
  </si>
  <si>
    <t>Opm.</t>
  </si>
  <si>
    <t>Conc. Nanodrop</t>
  </si>
  <si>
    <t>DNA</t>
  </si>
  <si>
    <t>Capture</t>
  </si>
  <si>
    <t>Volume capture (µl)</t>
  </si>
  <si>
    <t>Blokker mix</t>
  </si>
  <si>
    <t>Capture grootte (kb):</t>
  </si>
  <si>
    <t>Totaal aantal kb:</t>
  </si>
  <si>
    <t>Verhouding captures:</t>
  </si>
  <si>
    <t>Calculations</t>
  </si>
  <si>
    <t>Molar conversions</t>
  </si>
  <si>
    <t>To convert pg/uL into pmol</t>
  </si>
  <si>
    <t>[pg/uL Library] x (10^6/1) x (1/660) x (1/size bp)</t>
  </si>
  <si>
    <t>500 pmol = ws</t>
  </si>
  <si>
    <t>To convert pmol into pg/uL</t>
  </si>
  <si>
    <t>[Library pmol] x (660/1) x (1/10^6) x size bp</t>
  </si>
  <si>
    <t>Qubit conc  (ng/ul)</t>
  </si>
  <si>
    <t>Volume Capture (ul)</t>
  </si>
  <si>
    <t>Sample</t>
  </si>
  <si>
    <t>Average size</t>
  </si>
  <si>
    <t>Amount pmol</t>
  </si>
  <si>
    <t>Library ul</t>
  </si>
  <si>
    <t>Low TE ul</t>
  </si>
  <si>
    <t>5: Library met Index</t>
  </si>
  <si>
    <t>6:Indeling van de Capture</t>
  </si>
  <si>
    <t>7: Berekening mengverhouding Captures</t>
  </si>
  <si>
    <t>8: MiSeq</t>
  </si>
  <si>
    <t>Datum invoer</t>
  </si>
  <si>
    <t>Dnummer</t>
  </si>
  <si>
    <t>Concentratie DNA ng/ul</t>
  </si>
  <si>
    <t>Volume aanwezig</t>
  </si>
  <si>
    <t>Totaal aanwezig</t>
  </si>
  <si>
    <t>Pellet lokatie</t>
  </si>
  <si>
    <t>Qubit ng/µl</t>
  </si>
  <si>
    <t>4 µg = ? µl</t>
  </si>
  <si>
    <r>
      <t xml:space="preserve">Kopieer hieronder op A7 de serie uit de 0-lijst! </t>
    </r>
    <r>
      <rPr>
        <b/>
        <sz val="11"/>
        <color indexed="10"/>
        <rFont val="Arial"/>
        <family val="2"/>
      </rPr>
      <t xml:space="preserve">Sorteer deze eerst op volgorde Gen en dan van D-nummer. </t>
    </r>
  </si>
  <si>
    <t>Dnummer MAXWELL en gen worden doorgelinkt naar tabblad 3-DNA voor Sanger SEQ</t>
  </si>
  <si>
    <t>Na het invullen van dit tabblad geen veranderingen meer aanbrengen in tabblad 1-Serie uit 0-lijst</t>
  </si>
  <si>
    <t>8 µg = ? µl stock DNA</t>
  </si>
  <si>
    <t>2 ug = ? ul</t>
  </si>
  <si>
    <t xml:space="preserve">Uitgevoerd door: </t>
  </si>
  <si>
    <t>Serie</t>
  </si>
  <si>
    <t>Opmerkingen worden doorgelinkt naar tabblad 2 - DNA voor shearen en tabblad 3 - DNA voor Sanger SEQ</t>
  </si>
  <si>
    <t>4 µg = ? µl stock DNA</t>
  </si>
  <si>
    <t>Berekeningen:</t>
  </si>
  <si>
    <t>2 µg = ? µl</t>
  </si>
  <si>
    <t>ul aanwezit in epje</t>
  </si>
  <si>
    <t>10 ul dH2O + x ul stock DNA (kolom G) - 2 ul voor meten op de Qubit</t>
  </si>
  <si>
    <t>volume over in epje</t>
  </si>
  <si>
    <t>ul TE toevoegen tot 125 ul</t>
  </si>
  <si>
    <t xml:space="preserve">8 µg = ? µl stock DNA </t>
  </si>
  <si>
    <t>kolom H</t>
  </si>
  <si>
    <t>kolom J</t>
  </si>
  <si>
    <t>kolom K</t>
  </si>
  <si>
    <t>kolom L</t>
  </si>
  <si>
    <t>kolom M</t>
  </si>
  <si>
    <t>kolom N</t>
  </si>
  <si>
    <t>=</t>
  </si>
  <si>
    <t>D-nummer en Gen worden doorgelinkt naar tabblad 2-DNA voor shearen en tabblad 4 - Overpipetteren naar crimpcap</t>
  </si>
  <si>
    <t>96 wells plaat</t>
  </si>
  <si>
    <t>A1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</si>
  <si>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</si>
  <si>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</si>
  <si>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</si>
  <si>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</si>
  <si>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</si>
  <si>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</si>
  <si>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</si>
  <si>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</si>
  <si>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</si>
  <si>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</si>
  <si>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</si>
  <si>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</si>
  <si>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</si>
  <si>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</si>
  <si>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</si>
  <si>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</si>
  <si>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</si>
  <si>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</si>
  <si>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</si>
  <si>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</si>
  <si>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</si>
  <si>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</si>
  <si>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</si>
  <si>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</si>
  <si>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</si>
  <si>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</si>
  <si>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</si>
  <si>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</si>
  <si>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</si>
  <si>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</si>
  <si>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</si>
  <si>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</si>
  <si>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</si>
  <si>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</si>
  <si>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</si>
  <si>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</si>
  <si>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</si>
  <si>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</si>
  <si>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</si>
  <si>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</si>
  <si>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</si>
  <si>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</si>
  <si>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</si>
  <si>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</si>
  <si>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</si>
  <si>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</si>
  <si>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</si>
  <si>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</si>
  <si>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</si>
  <si>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</si>
  <si>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</si>
  <si>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</si>
  <si>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</si>
  <si>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</si>
  <si>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</si>
  <si>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</si>
  <si>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</si>
  <si>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</si>
  <si>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</si>
  <si>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</si>
  <si>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</si>
  <si>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</si>
  <si>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</si>
  <si>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</si>
  <si>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</si>
  <si>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</si>
  <si>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</si>
  <si>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</si>
  <si>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</si>
  <si>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</si>
  <si>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</si>
  <si>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</si>
  <si>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</si>
  <si>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</si>
  <si>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</si>
  <si>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</si>
  <si>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</si>
  <si>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</si>
  <si>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</si>
  <si>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</si>
  <si>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</si>
  <si>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</si>
  <si>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</si>
  <si>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</si>
  <si>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</si>
  <si>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</si>
  <si>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</si>
  <si>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</si>
  <si>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</si>
  <si>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</si>
  <si>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</si>
  <si>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</si>
  <si>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</si>
  <si>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</si>
  <si>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</si>
  <si>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D-nr</t>
  </si>
  <si>
    <t>Berekeningen</t>
  </si>
  <si>
    <t xml:space="preserve">kolom G </t>
  </si>
  <si>
    <t>8000 ng / conc. Nanodrop</t>
  </si>
  <si>
    <t>4000 ng / conc. Nanodrop</t>
  </si>
  <si>
    <t>4000 ng / conc. Qubit</t>
  </si>
  <si>
    <t>2000 ng / conc. Qubit</t>
  </si>
  <si>
    <t>ul aanwezig in epje (kolom L) - ul wat nodig is voor 4 ug DNA (kolom J)</t>
  </si>
  <si>
    <t>125 - ul wat nodig is voor 4 ug DNA (kolom J)</t>
  </si>
  <si>
    <t>aantal patienten * capture grootte</t>
  </si>
  <si>
    <t>Verhouding captures</t>
  </si>
  <si>
    <t>totaal aantal kb / kleinste capture</t>
  </si>
  <si>
    <t>Volume capture:</t>
  </si>
  <si>
    <t>1000 ng / aantal aanvragen op de capture / concentratie Qubit</t>
  </si>
  <si>
    <t>µl aanwezig in epje (10 ul H2O + 2 ug DNA)</t>
  </si>
  <si>
    <t>Over aan volume in epje (4 ug DNA)</t>
  </si>
  <si>
    <t>Over aan volume in epje (2 ug DNA)</t>
  </si>
  <si>
    <t>ul TE toevoegen tot 125 ul  (4 ug DNA)</t>
  </si>
  <si>
    <t>ul TE toevoegen tot 125 ul (2 ug DNA)</t>
  </si>
  <si>
    <t>factor die nodig is voor voldoende reads:</t>
  </si>
  <si>
    <t>Werkelijk aantal patiënten:</t>
  </si>
  <si>
    <t>Totaal aantal kb =</t>
  </si>
  <si>
    <t>Aantal patiënten x capture grootte</t>
  </si>
  <si>
    <t>Verhouding capture =</t>
  </si>
  <si>
    <t>Totaal aantal kb delen door de kleinste capture die meegenomen wordt</t>
  </si>
  <si>
    <t xml:space="preserve">Start: </t>
  </si>
  <si>
    <t>2 ug DNA</t>
  </si>
  <si>
    <t>Locatie gesheared DNA</t>
  </si>
  <si>
    <t>Index</t>
  </si>
  <si>
    <t>mengverhouding Capture x zelf ingesteld volume (Library ul) van de kleinste capture</t>
  </si>
  <si>
    <t>4 ug DNA (voor 2 ug zie tabel hieronder)</t>
  </si>
  <si>
    <t>50.000 pmol stock</t>
  </si>
  <si>
    <t>Versiebeheer captures</t>
  </si>
  <si>
    <r>
      <t>en welke pakketten samen op een capture staan (</t>
    </r>
    <r>
      <rPr>
        <i/>
        <sz val="11"/>
        <color theme="1"/>
        <rFont val="Arial"/>
        <family val="2"/>
      </rPr>
      <t>G:\divg\KlinischeGenetica\DNA\Aandoeningen\NGS\DOCUMENTEN</t>
    </r>
    <r>
      <rPr>
        <sz val="11"/>
        <color theme="1"/>
        <rFont val="Arial"/>
        <family val="2"/>
      </rPr>
      <t>)</t>
    </r>
  </si>
  <si>
    <t xml:space="preserve">hierin is informatie over de captures te vinden zoals de grootte, welke genen, welke versie in gebruik is </t>
  </si>
  <si>
    <t>Locatie library DNA</t>
  </si>
  <si>
    <t>SO --&gt; 2 ug DNA</t>
  </si>
  <si>
    <t>Standaard wordt er 1 ug DNA op een capture gedaan, de onderstaande captures zijn uitzonderingen:</t>
  </si>
  <si>
    <t>Snapcap</t>
  </si>
  <si>
    <t>4: Overpipetteren naar Snapcap</t>
  </si>
  <si>
    <t xml:space="preserve">Pakket: </t>
  </si>
  <si>
    <t>Let op! Dit tabblad wordt gebuikt om de samplesheet te maken voor de MiSeq. Zorg dat alle gegevens kloppen!</t>
  </si>
  <si>
    <t>Er mogen bijvoorbeeld geen D-nrs meer tussen staan die uit de serie gehaald zijn e.d.</t>
  </si>
  <si>
    <t>Library  Fluorstar (ng/µl)</t>
  </si>
  <si>
    <t>Aanmelding FX</t>
  </si>
  <si>
    <t>PAKKET</t>
  </si>
  <si>
    <t>plaats</t>
  </si>
  <si>
    <t>MATERIAAL soort</t>
  </si>
  <si>
    <t>Volume verdunning</t>
  </si>
  <si>
    <t>UG verdunning</t>
  </si>
  <si>
    <t>Opmerkingen</t>
  </si>
  <si>
    <t>CM = CM capture en TTN capture --&gt; eerst de hoeveelheid pipetteren voor 2 ug. Daarna splitsen naar 1 ug voor elke capture</t>
  </si>
  <si>
    <t xml:space="preserve">µl aanwezig in epje </t>
  </si>
  <si>
    <t>datum binnenkomst</t>
  </si>
  <si>
    <t>datum afronden  analist (13 weken)</t>
  </si>
  <si>
    <t>FLUORmeting/Qubitmeting</t>
  </si>
  <si>
    <t>DLv2</t>
  </si>
  <si>
    <t>17D7859</t>
  </si>
  <si>
    <t>17D7860</t>
  </si>
  <si>
    <t>17D7872</t>
  </si>
  <si>
    <t>17D7873</t>
  </si>
  <si>
    <t>17D7874</t>
  </si>
  <si>
    <t>17D7900</t>
  </si>
  <si>
    <t>17D7901</t>
  </si>
  <si>
    <t>17D7905</t>
  </si>
  <si>
    <t>17D7908</t>
  </si>
  <si>
    <t>17D7952</t>
  </si>
  <si>
    <t>17D7953</t>
  </si>
  <si>
    <t>17D7954</t>
  </si>
  <si>
    <t>17D7955</t>
  </si>
  <si>
    <t>17D7959</t>
  </si>
  <si>
    <t>17D7960</t>
  </si>
  <si>
    <t>17D8000</t>
  </si>
  <si>
    <t>17D8001</t>
  </si>
  <si>
    <t>17D8007</t>
  </si>
  <si>
    <t>17D8008</t>
  </si>
  <si>
    <t>17D8009</t>
  </si>
  <si>
    <t>17D8010</t>
  </si>
  <si>
    <t>17D8011</t>
  </si>
  <si>
    <t>17D8020</t>
  </si>
  <si>
    <t>17D8022</t>
  </si>
  <si>
    <t>17D8063</t>
  </si>
  <si>
    <t>17D8064</t>
  </si>
  <si>
    <t>17D8065</t>
  </si>
  <si>
    <t>17D8066</t>
  </si>
  <si>
    <t>17D8077</t>
  </si>
  <si>
    <t>17D8082</t>
  </si>
  <si>
    <t>17D8113</t>
  </si>
  <si>
    <t>17D8114</t>
  </si>
  <si>
    <t>17D8115</t>
  </si>
  <si>
    <t>17D8117</t>
  </si>
  <si>
    <t>17D8127</t>
  </si>
  <si>
    <t>17D8130</t>
  </si>
  <si>
    <t>17D8131</t>
  </si>
  <si>
    <t>17D8181</t>
  </si>
  <si>
    <t>17D8188</t>
  </si>
  <si>
    <t>MiSeq Exp DL070</t>
  </si>
  <si>
    <t>17D7796</t>
  </si>
  <si>
    <t>MISEQ001</t>
  </si>
  <si>
    <t>G04</t>
  </si>
  <si>
    <t>MISEQ002</t>
  </si>
  <si>
    <t>G06</t>
  </si>
  <si>
    <t>H04</t>
  </si>
  <si>
    <t>B05</t>
  </si>
  <si>
    <t>C05</t>
  </si>
  <si>
    <t>F05</t>
  </si>
  <si>
    <t>G05</t>
  </si>
  <si>
    <t>A04</t>
  </si>
  <si>
    <t>E05</t>
  </si>
  <si>
    <t>H05</t>
  </si>
  <si>
    <t>A06</t>
  </si>
  <si>
    <t>B06</t>
  </si>
  <si>
    <t>C06</t>
  </si>
  <si>
    <t>G07</t>
  </si>
  <si>
    <t>H07</t>
  </si>
  <si>
    <t>E08</t>
  </si>
  <si>
    <t>D08</t>
  </si>
  <si>
    <t>F08</t>
  </si>
  <si>
    <t>G08</t>
  </si>
  <si>
    <t>H08</t>
  </si>
  <si>
    <t>A09</t>
  </si>
  <si>
    <t>B09</t>
  </si>
  <si>
    <t>A07</t>
  </si>
  <si>
    <t>B07</t>
  </si>
  <si>
    <t>G09</t>
  </si>
  <si>
    <t>D03</t>
  </si>
  <si>
    <t>E03</t>
  </si>
  <si>
    <t>H09</t>
  </si>
  <si>
    <t>F03</t>
  </si>
  <si>
    <t>G03</t>
  </si>
  <si>
    <t>D05</t>
  </si>
  <si>
    <t>C07</t>
  </si>
  <si>
    <t>D07</t>
  </si>
  <si>
    <t>MISEQ003</t>
  </si>
  <si>
    <t>F07</t>
  </si>
  <si>
    <t>DL</t>
  </si>
  <si>
    <t>DLP029</t>
  </si>
  <si>
    <t>DLL 029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</si>
</sst>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4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1"/>
      <color indexed="8"/>
      <name val="Calibri"/>
      <family val="2"/>
    </font>
    <font>
      <b/>
      <sz val="11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color indexed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b/>
      <sz val="12"/>
      <color theme="1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Arial"/>
      <family val="2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sz val="11"/>
      <name val="Arial"/>
      <family val="2"/>
    </font>
    <font>
      <i/>
      <sz val="11"/>
      <color theme="1"/>
      <name val="Arial"/>
      <family val="2"/>
    </font>
    <font>
      <sz val="10"/>
      <name val="Arial"/>
      <family val="2"/>
    </font>
    <font>
      <sz val="10"/>
      <color rgb="FF00B050"/>
      <name val="Arial"/>
      <family val="2"/>
    </font>
    <font>
      <b/>
      <sz val="10"/>
      <name val="Calibri"/>
      <family val="2"/>
      <scheme val="minor"/>
    </font>
    <font>
      <sz val="8"/>
      <name val="Arial"/>
      <family val="2"/>
    </font>
    <font>
      <sz val="12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7EFFF"/>
        <bgColor indexed="64"/>
      </patternFill>
    </fill>
    <fill>
      <patternFill patternType="solid">
        <fgColor rgb="FF4BF010"/>
        <bgColor indexed="64"/>
      </patternFill>
    </fill>
  </fills>
  <borders count="9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</borders>
  <cellStyleXfs count="5690">
    <xf numFmtId="0" fontId="0" fillId="0" borderId="0"/>
    <xf numFmtId="0" fontId="2" fillId="0" borderId="0"/>
    <xf numFmtId="0" fontId="12" fillId="0" borderId="0"/>
    <xf numFmtId="0" fontId="2" fillId="0" borderId="0"/>
    <xf numFmtId="0" fontId="12" fillId="0" borderId="0"/>
    <xf numFmtId="0" fontId="2" fillId="0" borderId="0"/>
    <xf numFmtId="0" fontId="1" fillId="0" borderId="0"/>
    <xf numFmtId="0" fontId="2" fillId="0" borderId="0"/>
    <xf numFmtId="0" fontId="8" fillId="0" borderId="0"/>
    <xf numFmtId="0" fontId="2" fillId="0" borderId="0"/>
    <xf numFmtId="0" fontId="2" fillId="0" borderId="0"/>
    <xf numFmtId="0" fontId="11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5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1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12" fillId="0" borderId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21" borderId="0" applyNumberFormat="0" applyBorder="0" applyAlignment="0" applyProtection="0"/>
    <xf numFmtId="0" fontId="23" fillId="22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23" borderId="0" applyNumberFormat="0" applyBorder="0" applyAlignment="0" applyProtection="0"/>
    <xf numFmtId="0" fontId="34" fillId="7" borderId="0" applyNumberFormat="0" applyBorder="0" applyAlignment="0" applyProtection="0"/>
    <xf numFmtId="0" fontId="24" fillId="24" borderId="39" applyNumberFormat="0" applyAlignment="0" applyProtection="0"/>
    <xf numFmtId="0" fontId="25" fillId="25" borderId="40" applyNumberFormat="0" applyAlignment="0" applyProtection="0"/>
    <xf numFmtId="0" fontId="37" fillId="0" borderId="0" applyNumberFormat="0" applyFill="0" applyBorder="0" applyAlignment="0" applyProtection="0"/>
    <xf numFmtId="0" fontId="27" fillId="8" borderId="0" applyNumberFormat="0" applyBorder="0" applyAlignment="0" applyProtection="0"/>
    <xf numFmtId="0" fontId="30" fillId="0" borderId="42" applyNumberFormat="0" applyFill="0" applyAlignment="0" applyProtection="0"/>
    <xf numFmtId="0" fontId="31" fillId="0" borderId="43" applyNumberFormat="0" applyFill="0" applyAlignment="0" applyProtection="0"/>
    <xf numFmtId="0" fontId="32" fillId="0" borderId="44" applyNumberFormat="0" applyFill="0" applyAlignment="0" applyProtection="0"/>
    <xf numFmtId="0" fontId="32" fillId="0" borderId="0" applyNumberForma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9" fillId="11" borderId="39" applyNumberFormat="0" applyAlignment="0" applyProtection="0"/>
    <xf numFmtId="0" fontId="26" fillId="0" borderId="41" applyNumberFormat="0" applyFill="0" applyAlignment="0" applyProtection="0"/>
    <xf numFmtId="0" fontId="33" fillId="26" borderId="0" applyNumberFormat="0" applyBorder="0" applyAlignment="0" applyProtection="0"/>
    <xf numFmtId="0" fontId="1" fillId="27" borderId="38" applyNumberFormat="0" applyFont="0" applyAlignment="0" applyProtection="0"/>
    <xf numFmtId="0" fontId="36" fillId="24" borderId="45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9" fillId="0" borderId="0"/>
    <xf numFmtId="0" fontId="35" fillId="0" borderId="0" applyNumberFormat="0" applyFill="0" applyBorder="0" applyAlignment="0" applyProtection="0"/>
    <xf numFmtId="0" fontId="22" fillId="0" borderId="46" applyNumberFormat="0" applyFill="0" applyAlignment="0" applyProtection="0"/>
    <xf numFmtId="0" fontId="38" fillId="0" borderId="0" applyNumberFormat="0" applyFill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21" borderId="0" applyNumberFormat="0" applyBorder="0" applyAlignment="0" applyProtection="0"/>
    <xf numFmtId="0" fontId="23" fillId="22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23" borderId="0" applyNumberFormat="0" applyBorder="0" applyAlignment="0" applyProtection="0"/>
    <xf numFmtId="0" fontId="34" fillId="7" borderId="0" applyNumberFormat="0" applyBorder="0" applyAlignment="0" applyProtection="0"/>
    <xf numFmtId="0" fontId="24" fillId="24" borderId="39" applyNumberFormat="0" applyAlignment="0" applyProtection="0"/>
    <xf numFmtId="0" fontId="24" fillId="24" borderId="39" applyNumberFormat="0" applyAlignment="0" applyProtection="0"/>
    <xf numFmtId="0" fontId="24" fillId="24" borderId="39" applyNumberFormat="0" applyAlignment="0" applyProtection="0"/>
    <xf numFmtId="0" fontId="24" fillId="24" borderId="39" applyNumberFormat="0" applyAlignment="0" applyProtection="0"/>
    <xf numFmtId="0" fontId="24" fillId="24" borderId="39" applyNumberFormat="0" applyAlignment="0" applyProtection="0"/>
    <xf numFmtId="0" fontId="25" fillId="25" borderId="40" applyNumberFormat="0" applyAlignment="0" applyProtection="0"/>
    <xf numFmtId="0" fontId="25" fillId="25" borderId="40" applyNumberFormat="0" applyAlignment="0" applyProtection="0"/>
    <xf numFmtId="0" fontId="25" fillId="25" borderId="40" applyNumberFormat="0" applyAlignment="0" applyProtection="0"/>
    <xf numFmtId="0" fontId="25" fillId="25" borderId="40" applyNumberFormat="0" applyAlignment="0" applyProtection="0"/>
    <xf numFmtId="0" fontId="25" fillId="25" borderId="40" applyNumberFormat="0" applyAlignment="0" applyProtection="0"/>
    <xf numFmtId="0" fontId="37" fillId="0" borderId="0" applyNumberFormat="0" applyFill="0" applyBorder="0" applyAlignment="0" applyProtection="0"/>
    <xf numFmtId="0" fontId="26" fillId="0" borderId="41" applyNumberFormat="0" applyFill="0" applyAlignment="0" applyProtection="0"/>
    <xf numFmtId="0" fontId="26" fillId="0" borderId="41" applyNumberFormat="0" applyFill="0" applyAlignment="0" applyProtection="0"/>
    <xf numFmtId="0" fontId="26" fillId="0" borderId="41" applyNumberFormat="0" applyFill="0" applyAlignment="0" applyProtection="0"/>
    <xf numFmtId="0" fontId="26" fillId="0" borderId="41" applyNumberFormat="0" applyFill="0" applyAlignment="0" applyProtection="0"/>
    <xf numFmtId="0" fontId="27" fillId="8" borderId="0" applyNumberFormat="0" applyBorder="0" applyAlignment="0" applyProtection="0"/>
    <xf numFmtId="0" fontId="27" fillId="8" borderId="0" applyNumberFormat="0" applyBorder="0" applyAlignment="0" applyProtection="0"/>
    <xf numFmtId="0" fontId="27" fillId="8" borderId="0" applyNumberFormat="0" applyBorder="0" applyAlignment="0" applyProtection="0"/>
    <xf numFmtId="0" fontId="27" fillId="8" borderId="0" applyNumberFormat="0" applyBorder="0" applyAlignment="0" applyProtection="0"/>
    <xf numFmtId="0" fontId="27" fillId="8" borderId="0" applyNumberFormat="0" applyBorder="0" applyAlignment="0" applyProtection="0"/>
    <xf numFmtId="0" fontId="30" fillId="0" borderId="42" applyNumberFormat="0" applyFill="0" applyAlignment="0" applyProtection="0"/>
    <xf numFmtId="0" fontId="31" fillId="0" borderId="43" applyNumberFormat="0" applyFill="0" applyAlignment="0" applyProtection="0"/>
    <xf numFmtId="0" fontId="32" fillId="0" borderId="44" applyNumberFormat="0" applyFill="0" applyAlignment="0" applyProtection="0"/>
    <xf numFmtId="0" fontId="32" fillId="0" borderId="0" applyNumberFormat="0" applyFill="0" applyBorder="0" applyAlignment="0" applyProtection="0"/>
    <xf numFmtId="0" fontId="29" fillId="11" borderId="39" applyNumberFormat="0" applyAlignment="0" applyProtection="0"/>
    <xf numFmtId="0" fontId="29" fillId="11" borderId="39" applyNumberFormat="0" applyAlignment="0" applyProtection="0"/>
    <xf numFmtId="0" fontId="29" fillId="11" borderId="39" applyNumberFormat="0" applyAlignment="0" applyProtection="0"/>
    <xf numFmtId="0" fontId="29" fillId="11" borderId="39" applyNumberFormat="0" applyAlignment="0" applyProtection="0"/>
    <xf numFmtId="0" fontId="29" fillId="11" borderId="39" applyNumberFormat="0" applyAlignment="0" applyProtection="0"/>
    <xf numFmtId="0" fontId="30" fillId="0" borderId="42" applyNumberFormat="0" applyFill="0" applyAlignment="0" applyProtection="0"/>
    <xf numFmtId="0" fontId="30" fillId="0" borderId="42" applyNumberFormat="0" applyFill="0" applyAlignment="0" applyProtection="0"/>
    <xf numFmtId="0" fontId="30" fillId="0" borderId="42" applyNumberFormat="0" applyFill="0" applyAlignment="0" applyProtection="0"/>
    <xf numFmtId="0" fontId="30" fillId="0" borderId="42" applyNumberFormat="0" applyFill="0" applyAlignment="0" applyProtection="0"/>
    <xf numFmtId="0" fontId="31" fillId="0" borderId="43" applyNumberFormat="0" applyFill="0" applyAlignment="0" applyProtection="0"/>
    <xf numFmtId="0" fontId="31" fillId="0" borderId="43" applyNumberFormat="0" applyFill="0" applyAlignment="0" applyProtection="0"/>
    <xf numFmtId="0" fontId="31" fillId="0" borderId="43" applyNumberFormat="0" applyFill="0" applyAlignment="0" applyProtection="0"/>
    <xf numFmtId="0" fontId="31" fillId="0" borderId="43" applyNumberFormat="0" applyFill="0" applyAlignment="0" applyProtection="0"/>
    <xf numFmtId="0" fontId="32" fillId="0" borderId="44" applyNumberFormat="0" applyFill="0" applyAlignment="0" applyProtection="0"/>
    <xf numFmtId="0" fontId="32" fillId="0" borderId="44" applyNumberFormat="0" applyFill="0" applyAlignment="0" applyProtection="0"/>
    <xf numFmtId="0" fontId="32" fillId="0" borderId="44" applyNumberFormat="0" applyFill="0" applyAlignment="0" applyProtection="0"/>
    <xf numFmtId="0" fontId="32" fillId="0" borderId="44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26" fillId="0" borderId="41" applyNumberFormat="0" applyFill="0" applyAlignment="0" applyProtection="0"/>
    <xf numFmtId="0" fontId="33" fillId="26" borderId="0" applyNumberFormat="0" applyBorder="0" applyAlignment="0" applyProtection="0"/>
    <xf numFmtId="0" fontId="33" fillId="26" borderId="0" applyNumberFormat="0" applyBorder="0" applyAlignment="0" applyProtection="0"/>
    <xf numFmtId="0" fontId="33" fillId="26" borderId="0" applyNumberFormat="0" applyBorder="0" applyAlignment="0" applyProtection="0"/>
    <xf numFmtId="0" fontId="33" fillId="26" borderId="0" applyNumberFormat="0" applyBorder="0" applyAlignment="0" applyProtection="0"/>
    <xf numFmtId="0" fontId="33" fillId="26" borderId="0" applyNumberFormat="0" applyBorder="0" applyAlignment="0" applyProtection="0"/>
    <xf numFmtId="0" fontId="1" fillId="27" borderId="38" applyNumberFormat="0" applyFont="0" applyAlignment="0" applyProtection="0"/>
    <xf numFmtId="0" fontId="2" fillId="27" borderId="38" applyNumberFormat="0" applyFont="0" applyAlignment="0" applyProtection="0"/>
    <xf numFmtId="0" fontId="2" fillId="27" borderId="38" applyNumberFormat="0" applyFont="0" applyAlignment="0" applyProtection="0"/>
    <xf numFmtId="0" fontId="34" fillId="7" borderId="0" applyNumberFormat="0" applyBorder="0" applyAlignment="0" applyProtection="0"/>
    <xf numFmtId="0" fontId="34" fillId="7" borderId="0" applyNumberFormat="0" applyBorder="0" applyAlignment="0" applyProtection="0"/>
    <xf numFmtId="0" fontId="34" fillId="7" borderId="0" applyNumberFormat="0" applyBorder="0" applyAlignment="0" applyProtection="0"/>
    <xf numFmtId="0" fontId="34" fillId="7" borderId="0" applyNumberFormat="0" applyBorder="0" applyAlignment="0" applyProtection="0"/>
    <xf numFmtId="0" fontId="36" fillId="24" borderId="45" applyNumberFormat="0" applyAlignment="0" applyProtection="0"/>
    <xf numFmtId="0" fontId="12" fillId="0" borderId="0"/>
    <xf numFmtId="0" fontId="2" fillId="0" borderId="0"/>
    <xf numFmtId="0" fontId="2" fillId="0" borderId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22" fillId="0" borderId="46" applyNumberFormat="0" applyFill="0" applyAlignment="0" applyProtection="0"/>
    <xf numFmtId="0" fontId="22" fillId="0" borderId="46" applyNumberFormat="0" applyFill="0" applyAlignment="0" applyProtection="0"/>
    <xf numFmtId="0" fontId="22" fillId="0" borderId="46" applyNumberFormat="0" applyFill="0" applyAlignment="0" applyProtection="0"/>
    <xf numFmtId="0" fontId="22" fillId="0" borderId="46" applyNumberFormat="0" applyFill="0" applyAlignment="0" applyProtection="0"/>
    <xf numFmtId="0" fontId="22" fillId="0" borderId="46" applyNumberFormat="0" applyFill="0" applyAlignment="0" applyProtection="0"/>
    <xf numFmtId="0" fontId="36" fillId="24" borderId="45" applyNumberFormat="0" applyAlignment="0" applyProtection="0"/>
    <xf numFmtId="0" fontId="36" fillId="24" borderId="45" applyNumberFormat="0" applyAlignment="0" applyProtection="0"/>
    <xf numFmtId="0" fontId="36" fillId="24" borderId="45" applyNumberFormat="0" applyAlignment="0" applyProtection="0"/>
    <xf numFmtId="0" fontId="36" fillId="24" borderId="45" applyNumberFormat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21" borderId="0" applyNumberFormat="0" applyBorder="0" applyAlignment="0" applyProtection="0"/>
    <xf numFmtId="0" fontId="23" fillId="22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23" borderId="0" applyNumberFormat="0" applyBorder="0" applyAlignment="0" applyProtection="0"/>
    <xf numFmtId="0" fontId="2" fillId="27" borderId="38" applyNumberFormat="0" applyFont="0" applyAlignment="0" applyProtection="0"/>
    <xf numFmtId="0" fontId="1" fillId="0" borderId="0"/>
    <xf numFmtId="0" fontId="1" fillId="0" borderId="0"/>
    <xf numFmtId="0" fontId="2" fillId="0" borderId="0"/>
    <xf numFmtId="0" fontId="2" fillId="0" borderId="0"/>
    <xf numFmtId="0" fontId="24" fillId="24" borderId="39" applyNumberFormat="0" applyAlignment="0" applyProtection="0"/>
    <xf numFmtId="0" fontId="25" fillId="25" borderId="40" applyNumberFormat="0" applyAlignment="0" applyProtection="0"/>
    <xf numFmtId="0" fontId="26" fillId="0" borderId="41" applyNumberFormat="0" applyFill="0" applyAlignment="0" applyProtection="0"/>
    <xf numFmtId="0" fontId="27" fillId="8" borderId="0" applyNumberFormat="0" applyBorder="0" applyAlignment="0" applyProtection="0"/>
    <xf numFmtId="0" fontId="29" fillId="11" borderId="39" applyNumberFormat="0" applyAlignment="0" applyProtection="0"/>
    <xf numFmtId="0" fontId="30" fillId="0" borderId="42" applyNumberFormat="0" applyFill="0" applyAlignment="0" applyProtection="0"/>
    <xf numFmtId="0" fontId="31" fillId="0" borderId="43" applyNumberFormat="0" applyFill="0" applyAlignment="0" applyProtection="0"/>
    <xf numFmtId="0" fontId="32" fillId="0" borderId="44" applyNumberFormat="0" applyFill="0" applyAlignment="0" applyProtection="0"/>
    <xf numFmtId="0" fontId="32" fillId="0" borderId="0" applyNumberFormat="0" applyFill="0" applyBorder="0" applyAlignment="0" applyProtection="0"/>
    <xf numFmtId="0" fontId="33" fillId="26" borderId="0" applyNumberFormat="0" applyBorder="0" applyAlignment="0" applyProtection="0"/>
    <xf numFmtId="0" fontId="2" fillId="27" borderId="38" applyNumberFormat="0" applyFont="0" applyAlignment="0" applyProtection="0"/>
    <xf numFmtId="0" fontId="2" fillId="27" borderId="38" applyNumberFormat="0" applyFont="0" applyAlignment="0" applyProtection="0"/>
    <xf numFmtId="0" fontId="34" fillId="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35" fillId="0" borderId="0" applyNumberFormat="0" applyFill="0" applyBorder="0" applyAlignment="0" applyProtection="0"/>
    <xf numFmtId="0" fontId="22" fillId="0" borderId="46" applyNumberFormat="0" applyFill="0" applyAlignment="0" applyProtection="0"/>
    <xf numFmtId="0" fontId="36" fillId="24" borderId="45" applyNumberFormat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2" fillId="0" borderId="0"/>
    <xf numFmtId="0" fontId="1" fillId="0" borderId="0"/>
    <xf numFmtId="0" fontId="2" fillId="27" borderId="38" applyNumberFormat="0" applyFont="0" applyAlignment="0" applyProtection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2" fillId="0" borderId="0"/>
    <xf numFmtId="0" fontId="12" fillId="0" borderId="0"/>
    <xf numFmtId="0" fontId="1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" fillId="0" borderId="0"/>
    <xf numFmtId="0" fontId="2" fillId="0" borderId="0"/>
    <xf numFmtId="0" fontId="2" fillId="0" borderId="0"/>
    <xf numFmtId="0" fontId="12" fillId="0" borderId="0"/>
    <xf numFmtId="0" fontId="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36" fillId="24" borderId="45" applyNumberFormat="0" applyAlignment="0" applyProtection="0"/>
    <xf numFmtId="0" fontId="2" fillId="0" borderId="0"/>
    <xf numFmtId="0" fontId="29" fillId="11" borderId="39" applyNumberFormat="0" applyAlignment="0" applyProtection="0"/>
    <xf numFmtId="0" fontId="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" fillId="27" borderId="38" applyNumberFormat="0" applyFont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" fillId="27" borderId="38" applyNumberFormat="0" applyFont="0" applyAlignment="0" applyProtection="0"/>
    <xf numFmtId="0" fontId="2" fillId="27" borderId="38" applyNumberFormat="0" applyFont="0" applyAlignment="0" applyProtection="0"/>
    <xf numFmtId="0" fontId="2" fillId="27" borderId="38" applyNumberFormat="0" applyFont="0" applyAlignment="0" applyProtection="0"/>
    <xf numFmtId="0" fontId="12" fillId="0" borderId="0"/>
    <xf numFmtId="0" fontId="2" fillId="27" borderId="38" applyNumberFormat="0" applyFont="0" applyAlignment="0" applyProtection="0"/>
    <xf numFmtId="0" fontId="2" fillId="27" borderId="38" applyNumberFormat="0" applyFont="0" applyAlignment="0" applyProtection="0"/>
    <xf numFmtId="0" fontId="2" fillId="27" borderId="38" applyNumberFormat="0" applyFont="0" applyAlignment="0" applyProtection="0"/>
    <xf numFmtId="0" fontId="2" fillId="27" borderId="38" applyNumberFormat="0" applyFont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27" borderId="38" applyNumberFormat="0" applyFont="0" applyAlignment="0" applyProtection="0"/>
    <xf numFmtId="0" fontId="1" fillId="27" borderId="38" applyNumberFormat="0" applyFont="0" applyAlignment="0" applyProtection="0"/>
    <xf numFmtId="0" fontId="24" fillId="24" borderId="39" applyNumberFormat="0" applyAlignment="0" applyProtection="0"/>
    <xf numFmtId="0" fontId="29" fillId="11" borderId="39" applyNumberFormat="0" applyAlignment="0" applyProtection="0"/>
    <xf numFmtId="0" fontId="2" fillId="27" borderId="38" applyNumberFormat="0" applyFont="0" applyAlignment="0" applyProtection="0"/>
    <xf numFmtId="0" fontId="36" fillId="24" borderId="45" applyNumberFormat="0" applyAlignment="0" applyProtection="0"/>
    <xf numFmtId="0" fontId="29" fillId="11" borderId="39" applyNumberFormat="0" applyAlignment="0" applyProtection="0"/>
    <xf numFmtId="0" fontId="24" fillId="24" borderId="39" applyNumberFormat="0" applyAlignment="0" applyProtection="0"/>
    <xf numFmtId="0" fontId="24" fillId="24" borderId="39" applyNumberFormat="0" applyAlignment="0" applyProtection="0"/>
    <xf numFmtId="0" fontId="29" fillId="11" borderId="39" applyNumberFormat="0" applyAlignment="0" applyProtection="0"/>
    <xf numFmtId="0" fontId="2" fillId="0" borderId="0"/>
    <xf numFmtId="0" fontId="29" fillId="11" borderId="39" applyNumberFormat="0" applyAlignment="0" applyProtection="0"/>
    <xf numFmtId="0" fontId="2" fillId="27" borderId="38" applyNumberFormat="0" applyFont="0" applyAlignment="0" applyProtection="0"/>
    <xf numFmtId="0" fontId="2" fillId="0" borderId="0"/>
    <xf numFmtId="0" fontId="2" fillId="27" borderId="38" applyNumberFormat="0" applyFont="0" applyAlignment="0" applyProtection="0"/>
    <xf numFmtId="0" fontId="24" fillId="24" borderId="39" applyNumberFormat="0" applyAlignment="0" applyProtection="0"/>
    <xf numFmtId="0" fontId="24" fillId="24" borderId="39" applyNumberFormat="0" applyAlignment="0" applyProtection="0"/>
    <xf numFmtId="0" fontId="2" fillId="0" borderId="0"/>
    <xf numFmtId="0" fontId="2" fillId="27" borderId="38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4" fillId="24" borderId="39" applyNumberFormat="0" applyAlignment="0" applyProtection="0"/>
    <xf numFmtId="0" fontId="29" fillId="11" borderId="39" applyNumberFormat="0" applyAlignment="0" applyProtection="0"/>
    <xf numFmtId="0" fontId="1" fillId="27" borderId="38" applyNumberFormat="0" applyFont="0" applyAlignment="0" applyProtection="0"/>
    <xf numFmtId="0" fontId="2" fillId="27" borderId="38" applyNumberFormat="0" applyFont="0" applyAlignment="0" applyProtection="0"/>
    <xf numFmtId="0" fontId="24" fillId="24" borderId="39" applyNumberFormat="0" applyAlignment="0" applyProtection="0"/>
    <xf numFmtId="0" fontId="29" fillId="11" borderId="39" applyNumberFormat="0" applyAlignment="0" applyProtection="0"/>
    <xf numFmtId="0" fontId="22" fillId="0" borderId="46" applyNumberFormat="0" applyFill="0" applyAlignment="0" applyProtection="0"/>
    <xf numFmtId="0" fontId="22" fillId="0" borderId="46" applyNumberFormat="0" applyFill="0" applyAlignment="0" applyProtection="0"/>
    <xf numFmtId="0" fontId="22" fillId="0" borderId="46" applyNumberFormat="0" applyFill="0" applyAlignment="0" applyProtection="0"/>
    <xf numFmtId="0" fontId="22" fillId="0" borderId="46" applyNumberFormat="0" applyFill="0" applyAlignment="0" applyProtection="0"/>
    <xf numFmtId="0" fontId="22" fillId="0" borderId="46" applyNumberFormat="0" applyFill="0" applyAlignment="0" applyProtection="0"/>
    <xf numFmtId="0" fontId="22" fillId="0" borderId="46" applyNumberFormat="0" applyFill="0" applyAlignment="0" applyProtection="0"/>
    <xf numFmtId="0" fontId="22" fillId="0" borderId="46" applyNumberFormat="0" applyFill="0" applyAlignment="0" applyProtection="0"/>
    <xf numFmtId="0" fontId="36" fillId="24" borderId="45" applyNumberFormat="0" applyAlignment="0" applyProtection="0"/>
    <xf numFmtId="0" fontId="36" fillId="24" borderId="45" applyNumberFormat="0" applyAlignment="0" applyProtection="0"/>
    <xf numFmtId="0" fontId="36" fillId="24" borderId="45" applyNumberFormat="0" applyAlignment="0" applyProtection="0"/>
    <xf numFmtId="0" fontId="36" fillId="24" borderId="45" applyNumberFormat="0" applyAlignment="0" applyProtection="0"/>
    <xf numFmtId="0" fontId="36" fillId="24" borderId="45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1" fillId="0" borderId="0"/>
    <xf numFmtId="0" fontId="21" fillId="0" borderId="0"/>
    <xf numFmtId="0" fontId="21" fillId="0" borderId="0"/>
    <xf numFmtId="0" fontId="44" fillId="0" borderId="0"/>
    <xf numFmtId="0" fontId="44" fillId="0" borderId="0"/>
    <xf numFmtId="0" fontId="44" fillId="0" borderId="0"/>
    <xf numFmtId="0" fontId="12" fillId="0" borderId="0"/>
    <xf numFmtId="0" fontId="12" fillId="0" borderId="0"/>
    <xf numFmtId="0" fontId="12" fillId="0" borderId="0"/>
    <xf numFmtId="0" fontId="24" fillId="24" borderId="39" applyNumberFormat="0" applyAlignment="0" applyProtection="0"/>
    <xf numFmtId="0" fontId="36" fillId="24" borderId="45" applyNumberFormat="0" applyAlignment="0" applyProtection="0"/>
    <xf numFmtId="0" fontId="29" fillId="11" borderId="39" applyNumberFormat="0" applyAlignment="0" applyProtection="0"/>
    <xf numFmtId="0" fontId="12" fillId="0" borderId="0"/>
    <xf numFmtId="0" fontId="12" fillId="0" borderId="0"/>
    <xf numFmtId="0" fontId="12" fillId="0" borderId="0"/>
    <xf numFmtId="0" fontId="24" fillId="24" borderId="39" applyNumberFormat="0" applyAlignment="0" applyProtection="0"/>
    <xf numFmtId="0" fontId="1" fillId="27" borderId="38" applyNumberFormat="0" applyFont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24" borderId="45" applyNumberFormat="0" applyAlignment="0" applyProtection="0"/>
    <xf numFmtId="0" fontId="2" fillId="27" borderId="38" applyNumberFormat="0" applyFont="0" applyAlignment="0" applyProtection="0"/>
    <xf numFmtId="0" fontId="29" fillId="11" borderId="39" applyNumberFormat="0" applyAlignment="0" applyProtection="0"/>
    <xf numFmtId="0" fontId="2" fillId="27" borderId="38" applyNumberFormat="0" applyFont="0" applyAlignment="0" applyProtection="0"/>
    <xf numFmtId="0" fontId="36" fillId="24" borderId="45" applyNumberFormat="0" applyAlignment="0" applyProtection="0"/>
    <xf numFmtId="0" fontId="36" fillId="24" borderId="45" applyNumberFormat="0" applyAlignment="0" applyProtection="0"/>
    <xf numFmtId="0" fontId="36" fillId="24" borderId="45" applyNumberFormat="0" applyAlignment="0" applyProtection="0"/>
    <xf numFmtId="0" fontId="22" fillId="0" borderId="46" applyNumberFormat="0" applyFill="0" applyAlignment="0" applyProtection="0"/>
    <xf numFmtId="0" fontId="22" fillId="0" borderId="46" applyNumberFormat="0" applyFill="0" applyAlignment="0" applyProtection="0"/>
    <xf numFmtId="0" fontId="22" fillId="0" borderId="46" applyNumberFormat="0" applyFill="0" applyAlignment="0" applyProtection="0"/>
    <xf numFmtId="0" fontId="22" fillId="0" borderId="46" applyNumberFormat="0" applyFill="0" applyAlignment="0" applyProtection="0"/>
    <xf numFmtId="0" fontId="36" fillId="24" borderId="45" applyNumberFormat="0" applyAlignment="0" applyProtection="0"/>
    <xf numFmtId="0" fontId="2" fillId="27" borderId="38" applyNumberFormat="0" applyFont="0" applyAlignment="0" applyProtection="0"/>
    <xf numFmtId="0" fontId="2" fillId="27" borderId="38" applyNumberFormat="0" applyFont="0" applyAlignment="0" applyProtection="0"/>
    <xf numFmtId="0" fontId="1" fillId="27" borderId="38" applyNumberFormat="0" applyFont="0" applyAlignment="0" applyProtection="0"/>
    <xf numFmtId="0" fontId="12" fillId="0" borderId="0"/>
    <xf numFmtId="0" fontId="2" fillId="27" borderId="38" applyNumberFormat="0" applyFont="0" applyAlignment="0" applyProtection="0"/>
    <xf numFmtId="0" fontId="24" fillId="24" borderId="39" applyNumberFormat="0" applyAlignment="0" applyProtection="0"/>
    <xf numFmtId="0" fontId="24" fillId="24" borderId="39" applyNumberFormat="0" applyAlignment="0" applyProtection="0"/>
    <xf numFmtId="0" fontId="36" fillId="24" borderId="45" applyNumberFormat="0" applyAlignment="0" applyProtection="0"/>
    <xf numFmtId="0" fontId="22" fillId="0" borderId="46" applyNumberFormat="0" applyFill="0" applyAlignment="0" applyProtection="0"/>
    <xf numFmtId="0" fontId="29" fillId="11" borderId="39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4" fillId="24" borderId="39" applyNumberFormat="0" applyAlignment="0" applyProtection="0"/>
    <xf numFmtId="0" fontId="12" fillId="0" borderId="0"/>
    <xf numFmtId="0" fontId="24" fillId="24" borderId="39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2" fillId="0" borderId="46" applyNumberFormat="0" applyFill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4" fillId="24" borderId="39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9" fillId="11" borderId="39" applyNumberFormat="0" applyAlignment="0" applyProtection="0"/>
    <xf numFmtId="0" fontId="29" fillId="11" borderId="39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9" fillId="11" borderId="39" applyNumberFormat="0" applyAlignment="0" applyProtection="0"/>
    <xf numFmtId="0" fontId="29" fillId="11" borderId="39" applyNumberFormat="0" applyAlignment="0" applyProtection="0"/>
    <xf numFmtId="0" fontId="2" fillId="27" borderId="38" applyNumberFormat="0" applyFont="0" applyAlignment="0" applyProtection="0"/>
    <xf numFmtId="0" fontId="22" fillId="0" borderId="46" applyNumberFormat="0" applyFill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24" borderId="45" applyNumberFormat="0" applyAlignment="0" applyProtection="0"/>
    <xf numFmtId="0" fontId="29" fillId="11" borderId="39" applyNumberFormat="0" applyAlignment="0" applyProtection="0"/>
    <xf numFmtId="0" fontId="1" fillId="27" borderId="38" applyNumberFormat="0" applyFont="0" applyAlignment="0" applyProtection="0"/>
    <xf numFmtId="0" fontId="1" fillId="27" borderId="38" applyNumberFormat="0" applyFont="0" applyAlignment="0" applyProtection="0"/>
    <xf numFmtId="0" fontId="2" fillId="27" borderId="38" applyNumberFormat="0" applyFont="0" applyAlignment="0" applyProtection="0"/>
    <xf numFmtId="0" fontId="2" fillId="27" borderId="38" applyNumberFormat="0" applyFont="0" applyAlignment="0" applyProtection="0"/>
    <xf numFmtId="0" fontId="2" fillId="27" borderId="38" applyNumberFormat="0" applyFont="0" applyAlignment="0" applyProtection="0"/>
    <xf numFmtId="0" fontId="2" fillId="27" borderId="38" applyNumberFormat="0" applyFont="0" applyAlignment="0" applyProtection="0"/>
    <xf numFmtId="0" fontId="2" fillId="27" borderId="38" applyNumberFormat="0" applyFont="0" applyAlignment="0" applyProtection="0"/>
    <xf numFmtId="0" fontId="2" fillId="27" borderId="38" applyNumberFormat="0" applyFont="0" applyAlignment="0" applyProtection="0"/>
    <xf numFmtId="0" fontId="2" fillId="27" borderId="38" applyNumberFormat="0" applyFont="0" applyAlignment="0" applyProtection="0"/>
    <xf numFmtId="0" fontId="1" fillId="27" borderId="38" applyNumberFormat="0" applyFont="0" applyAlignment="0" applyProtection="0"/>
    <xf numFmtId="0" fontId="24" fillId="24" borderId="39" applyNumberFormat="0" applyAlignment="0" applyProtection="0"/>
    <xf numFmtId="0" fontId="29" fillId="11" borderId="39" applyNumberFormat="0" applyAlignment="0" applyProtection="0"/>
    <xf numFmtId="0" fontId="2" fillId="27" borderId="38" applyNumberFormat="0" applyFont="0" applyAlignment="0" applyProtection="0"/>
    <xf numFmtId="0" fontId="36" fillId="24" borderId="45" applyNumberFormat="0" applyAlignment="0" applyProtection="0"/>
    <xf numFmtId="0" fontId="29" fillId="11" borderId="39" applyNumberFormat="0" applyAlignment="0" applyProtection="0"/>
    <xf numFmtId="0" fontId="24" fillId="24" borderId="39" applyNumberFormat="0" applyAlignment="0" applyProtection="0"/>
    <xf numFmtId="0" fontId="24" fillId="24" borderId="39" applyNumberFormat="0" applyAlignment="0" applyProtection="0"/>
    <xf numFmtId="0" fontId="29" fillId="11" borderId="39" applyNumberFormat="0" applyAlignment="0" applyProtection="0"/>
    <xf numFmtId="0" fontId="29" fillId="11" borderId="39" applyNumberFormat="0" applyAlignment="0" applyProtection="0"/>
    <xf numFmtId="0" fontId="2" fillId="27" borderId="38" applyNumberFormat="0" applyFont="0" applyAlignment="0" applyProtection="0"/>
    <xf numFmtId="0" fontId="2" fillId="27" borderId="38" applyNumberFormat="0" applyFont="0" applyAlignment="0" applyProtection="0"/>
    <xf numFmtId="0" fontId="24" fillId="24" borderId="39" applyNumberFormat="0" applyAlignment="0" applyProtection="0"/>
    <xf numFmtId="0" fontId="24" fillId="24" borderId="39" applyNumberFormat="0" applyAlignment="0" applyProtection="0"/>
    <xf numFmtId="0" fontId="2" fillId="27" borderId="38" applyNumberFormat="0" applyFont="0" applyAlignment="0" applyProtection="0"/>
    <xf numFmtId="0" fontId="24" fillId="24" borderId="39" applyNumberFormat="0" applyAlignment="0" applyProtection="0"/>
    <xf numFmtId="0" fontId="29" fillId="11" borderId="39" applyNumberFormat="0" applyAlignment="0" applyProtection="0"/>
    <xf numFmtId="0" fontId="1" fillId="27" borderId="38" applyNumberFormat="0" applyFont="0" applyAlignment="0" applyProtection="0"/>
    <xf numFmtId="0" fontId="2" fillId="27" borderId="38" applyNumberFormat="0" applyFont="0" applyAlignment="0" applyProtection="0"/>
    <xf numFmtId="0" fontId="24" fillId="24" borderId="39" applyNumberFormat="0" applyAlignment="0" applyProtection="0"/>
    <xf numFmtId="0" fontId="29" fillId="11" borderId="39" applyNumberFormat="0" applyAlignment="0" applyProtection="0"/>
    <xf numFmtId="0" fontId="22" fillId="0" borderId="46" applyNumberFormat="0" applyFill="0" applyAlignment="0" applyProtection="0"/>
    <xf numFmtId="0" fontId="22" fillId="0" borderId="46" applyNumberFormat="0" applyFill="0" applyAlignment="0" applyProtection="0"/>
    <xf numFmtId="0" fontId="22" fillId="0" borderId="46" applyNumberFormat="0" applyFill="0" applyAlignment="0" applyProtection="0"/>
    <xf numFmtId="0" fontId="22" fillId="0" borderId="46" applyNumberFormat="0" applyFill="0" applyAlignment="0" applyProtection="0"/>
    <xf numFmtId="0" fontId="22" fillId="0" borderId="46" applyNumberFormat="0" applyFill="0" applyAlignment="0" applyProtection="0"/>
    <xf numFmtId="0" fontId="22" fillId="0" borderId="46" applyNumberFormat="0" applyFill="0" applyAlignment="0" applyProtection="0"/>
    <xf numFmtId="0" fontId="22" fillId="0" borderId="46" applyNumberFormat="0" applyFill="0" applyAlignment="0" applyProtection="0"/>
    <xf numFmtId="0" fontId="36" fillId="24" borderId="45" applyNumberFormat="0" applyAlignment="0" applyProtection="0"/>
    <xf numFmtId="0" fontId="36" fillId="24" borderId="45" applyNumberFormat="0" applyAlignment="0" applyProtection="0"/>
    <xf numFmtId="0" fontId="36" fillId="24" borderId="45" applyNumberFormat="0" applyAlignment="0" applyProtection="0"/>
    <xf numFmtId="0" fontId="36" fillId="24" borderId="45" applyNumberFormat="0" applyAlignment="0" applyProtection="0"/>
    <xf numFmtId="0" fontId="36" fillId="24" borderId="45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44" fillId="0" borderId="0"/>
    <xf numFmtId="0" fontId="44" fillId="0" borderId="0"/>
  </cellStyleXfs>
  <cellXfs count="276">
    <xf numFmtId="0" fontId="0" fillId="0" borderId="0" xfId="0"/>
    <xf numFmtId="0" fontId="13" fillId="0" borderId="0" xfId="0" applyFont="1"/>
    <xf numFmtId="14" fontId="14" fillId="0" borderId="0" xfId="12" applyNumberFormat="1" applyFont="1" applyFill="1" applyAlignment="1">
      <alignment horizontal="left"/>
    </xf>
    <xf numFmtId="0" fontId="2" fillId="0" borderId="0" xfId="12"/>
    <xf numFmtId="0" fontId="2" fillId="0" borderId="0" xfId="12" applyFont="1" applyFill="1"/>
    <xf numFmtId="0" fontId="2" fillId="0" borderId="0" xfId="12" applyAlignment="1">
      <alignment horizontal="center"/>
    </xf>
    <xf numFmtId="0" fontId="2" fillId="0" borderId="0" xfId="12" applyFont="1"/>
    <xf numFmtId="0" fontId="2" fillId="0" borderId="1" xfId="12" applyBorder="1"/>
    <xf numFmtId="0" fontId="4" fillId="0" borderId="0" xfId="12" applyFont="1" applyAlignment="1">
      <alignment horizontal="center"/>
    </xf>
    <xf numFmtId="0" fontId="4" fillId="0" borderId="2" xfId="12" applyFont="1" applyBorder="1" applyAlignment="1">
      <alignment horizontal="center"/>
    </xf>
    <xf numFmtId="0" fontId="3" fillId="0" borderId="4" xfId="12" applyFont="1" applyBorder="1" applyAlignment="1">
      <alignment horizontal="center"/>
    </xf>
    <xf numFmtId="0" fontId="3" fillId="0" borderId="2" xfId="12" applyFont="1" applyBorder="1" applyAlignment="1">
      <alignment horizontal="center"/>
    </xf>
    <xf numFmtId="0" fontId="3" fillId="0" borderId="5" xfId="12" applyFont="1" applyBorder="1"/>
    <xf numFmtId="0" fontId="2" fillId="0" borderId="0" xfId="12" applyFont="1" applyFill="1" applyAlignment="1">
      <alignment horizontal="center"/>
    </xf>
    <xf numFmtId="164" fontId="2" fillId="0" borderId="0" xfId="12" applyNumberFormat="1" applyFont="1" applyFill="1" applyAlignment="1">
      <alignment horizontal="center"/>
    </xf>
    <xf numFmtId="0" fontId="14" fillId="0" borderId="0" xfId="12" applyNumberFormat="1" applyFont="1"/>
    <xf numFmtId="0" fontId="14" fillId="0" borderId="0" xfId="12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6" fillId="0" borderId="10" xfId="0" applyFont="1" applyBorder="1"/>
    <xf numFmtId="0" fontId="16" fillId="3" borderId="0" xfId="0" applyFont="1" applyFill="1"/>
    <xf numFmtId="0" fontId="2" fillId="0" borderId="0" xfId="12" applyFont="1" applyFill="1" applyBorder="1" applyAlignment="1"/>
    <xf numFmtId="0" fontId="16" fillId="4" borderId="0" xfId="0" applyFont="1" applyFill="1"/>
    <xf numFmtId="0" fontId="18" fillId="0" borderId="0" xfId="0" applyFont="1"/>
    <xf numFmtId="0" fontId="3" fillId="2" borderId="0" xfId="12" applyFont="1" applyFill="1" applyAlignment="1">
      <alignment horizontal="center"/>
    </xf>
    <xf numFmtId="0" fontId="3" fillId="2" borderId="0" xfId="12" applyFont="1" applyFill="1" applyAlignment="1">
      <alignment horizontal="center" wrapText="1"/>
    </xf>
    <xf numFmtId="0" fontId="2" fillId="0" borderId="23" xfId="12" applyBorder="1"/>
    <xf numFmtId="164" fontId="2" fillId="2" borderId="0" xfId="12" applyNumberFormat="1" applyFill="1"/>
    <xf numFmtId="0" fontId="3" fillId="0" borderId="0" xfId="12" applyFont="1" applyAlignment="1">
      <alignment horizontal="right"/>
    </xf>
    <xf numFmtId="1" fontId="2" fillId="2" borderId="0" xfId="12" applyNumberFormat="1" applyFill="1" applyAlignment="1">
      <alignment horizontal="center"/>
    </xf>
    <xf numFmtId="0" fontId="2" fillId="0" borderId="24" xfId="12" applyBorder="1"/>
    <xf numFmtId="0" fontId="3" fillId="0" borderId="0" xfId="12" applyFont="1" applyAlignment="1">
      <alignment wrapText="1"/>
    </xf>
    <xf numFmtId="0" fontId="2" fillId="0" borderId="25" xfId="12" applyBorder="1" applyAlignment="1">
      <alignment horizontal="center"/>
    </xf>
    <xf numFmtId="0" fontId="7" fillId="0" borderId="0" xfId="12" applyFont="1"/>
    <xf numFmtId="0" fontId="8" fillId="0" borderId="0" xfId="8"/>
    <xf numFmtId="1" fontId="9" fillId="0" borderId="27" xfId="8" applyNumberFormat="1" applyFont="1" applyBorder="1" applyAlignment="1">
      <alignment horizontal="center" wrapText="1"/>
    </xf>
    <xf numFmtId="164" fontId="9" fillId="0" borderId="27" xfId="8" applyNumberFormat="1" applyFont="1" applyBorder="1" applyAlignment="1">
      <alignment horizontal="center" wrapText="1"/>
    </xf>
    <xf numFmtId="0" fontId="9" fillId="0" borderId="27" xfId="8" applyFont="1" applyBorder="1" applyAlignment="1">
      <alignment horizontal="center" wrapText="1"/>
    </xf>
    <xf numFmtId="14" fontId="9" fillId="0" borderId="27" xfId="8" applyNumberFormat="1" applyFont="1" applyBorder="1" applyAlignment="1">
      <alignment horizontal="left" wrapText="1"/>
    </xf>
    <xf numFmtId="14" fontId="9" fillId="0" borderId="27" xfId="8" applyNumberFormat="1" applyFont="1" applyBorder="1" applyAlignment="1">
      <alignment horizontal="center" wrapText="1"/>
    </xf>
    <xf numFmtId="0" fontId="9" fillId="0" borderId="27" xfId="8" applyNumberFormat="1" applyFont="1" applyBorder="1" applyAlignment="1">
      <alignment horizontal="center" wrapText="1"/>
    </xf>
    <xf numFmtId="164" fontId="0" fillId="0" borderId="0" xfId="0" applyNumberFormat="1" applyFill="1" applyBorder="1" applyAlignment="1">
      <alignment horizontal="center"/>
    </xf>
    <xf numFmtId="0" fontId="16" fillId="0" borderId="0" xfId="0" applyFont="1" applyBorder="1"/>
    <xf numFmtId="49" fontId="9" fillId="5" borderId="27" xfId="8" applyNumberFormat="1" applyFont="1" applyFill="1" applyBorder="1" applyAlignment="1">
      <alignment horizontal="center" wrapText="1"/>
    </xf>
    <xf numFmtId="0" fontId="9" fillId="5" borderId="27" xfId="8" applyFont="1" applyFill="1" applyBorder="1" applyAlignment="1">
      <alignment horizontal="center" wrapText="1"/>
    </xf>
    <xf numFmtId="0" fontId="19" fillId="0" borderId="0" xfId="0" applyFont="1"/>
    <xf numFmtId="0" fontId="9" fillId="5" borderId="27" xfId="8" applyNumberFormat="1" applyFont="1" applyFill="1" applyBorder="1" applyAlignment="1">
      <alignment horizontal="left" wrapText="1"/>
    </xf>
    <xf numFmtId="0" fontId="16" fillId="0" borderId="0" xfId="0" applyFont="1" applyAlignment="1">
      <alignment horizontal="left"/>
    </xf>
    <xf numFmtId="164" fontId="2" fillId="0" borderId="0" xfId="0" applyNumberFormat="1" applyFont="1" applyBorder="1" applyAlignment="1">
      <alignment horizontal="left"/>
    </xf>
    <xf numFmtId="0" fontId="16" fillId="0" borderId="0" xfId="0" applyFont="1" applyBorder="1" applyAlignment="1">
      <alignment horizontal="left"/>
    </xf>
    <xf numFmtId="164" fontId="2" fillId="0" borderId="0" xfId="0" applyNumberFormat="1" applyFont="1" applyFill="1" applyBorder="1" applyAlignment="1">
      <alignment horizontal="left"/>
    </xf>
    <xf numFmtId="0" fontId="16" fillId="0" borderId="0" xfId="0" quotePrefix="1" applyFont="1" applyBorder="1"/>
    <xf numFmtId="0" fontId="16" fillId="0" borderId="9" xfId="0" applyFont="1" applyBorder="1"/>
    <xf numFmtId="0" fontId="15" fillId="0" borderId="22" xfId="0" applyFont="1" applyBorder="1"/>
    <xf numFmtId="0" fontId="16" fillId="0" borderId="0" xfId="0" applyFont="1" applyFill="1" applyBorder="1"/>
    <xf numFmtId="0" fontId="20" fillId="0" borderId="0" xfId="0" applyFont="1" applyFill="1" applyBorder="1"/>
    <xf numFmtId="0" fontId="16" fillId="0" borderId="0" xfId="0" quotePrefix="1" applyFont="1" applyFill="1" applyBorder="1" applyAlignment="1">
      <alignment horizontal="center"/>
    </xf>
    <xf numFmtId="0" fontId="20" fillId="0" borderId="0" xfId="0" applyFont="1" applyBorder="1"/>
    <xf numFmtId="49" fontId="16" fillId="5" borderId="11" xfId="0" applyNumberFormat="1" applyFont="1" applyFill="1" applyBorder="1" applyAlignment="1">
      <alignment horizontal="right"/>
    </xf>
    <xf numFmtId="0" fontId="16" fillId="5" borderId="12" xfId="0" applyFont="1" applyFill="1" applyBorder="1"/>
    <xf numFmtId="0" fontId="16" fillId="0" borderId="0" xfId="0" applyFont="1" applyAlignment="1">
      <alignment horizontal="center"/>
    </xf>
    <xf numFmtId="0" fontId="16" fillId="5" borderId="28" xfId="0" applyFont="1" applyFill="1" applyBorder="1"/>
    <xf numFmtId="0" fontId="16" fillId="5" borderId="29" xfId="0" applyFont="1" applyFill="1" applyBorder="1"/>
    <xf numFmtId="0" fontId="18" fillId="0" borderId="14" xfId="0" applyFont="1" applyBorder="1"/>
    <xf numFmtId="0" fontId="18" fillId="0" borderId="7" xfId="0" applyFont="1" applyBorder="1"/>
    <xf numFmtId="0" fontId="18" fillId="0" borderId="15" xfId="0" applyFont="1" applyBorder="1"/>
    <xf numFmtId="0" fontId="3" fillId="0" borderId="0" xfId="12" applyFont="1" applyFill="1" applyAlignment="1">
      <alignment horizontal="right" wrapText="1"/>
    </xf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164" fontId="40" fillId="0" borderId="49" xfId="0" applyNumberFormat="1" applyFont="1" applyFill="1" applyBorder="1" applyAlignment="1">
      <alignment horizontal="center"/>
    </xf>
    <xf numFmtId="0" fontId="16" fillId="0" borderId="2" xfId="0" applyFont="1" applyBorder="1"/>
    <xf numFmtId="0" fontId="16" fillId="0" borderId="4" xfId="0" applyFont="1" applyBorder="1"/>
    <xf numFmtId="0" fontId="16" fillId="0" borderId="3" xfId="0" applyFont="1" applyBorder="1"/>
    <xf numFmtId="0" fontId="3" fillId="0" borderId="56" xfId="12" applyFont="1" applyBorder="1" applyAlignment="1">
      <alignment horizontal="center" wrapText="1"/>
    </xf>
    <xf numFmtId="164" fontId="3" fillId="0" borderId="56" xfId="0" applyNumberFormat="1" applyFont="1" applyBorder="1" applyAlignment="1">
      <alignment horizontal="center"/>
    </xf>
    <xf numFmtId="164" fontId="40" fillId="0" borderId="58" xfId="0" applyNumberFormat="1" applyFont="1" applyFill="1" applyBorder="1" applyAlignment="1">
      <alignment horizontal="center"/>
    </xf>
    <xf numFmtId="164" fontId="40" fillId="0" borderId="59" xfId="0" applyNumberFormat="1" applyFont="1" applyFill="1" applyBorder="1" applyAlignment="1">
      <alignment horizontal="center"/>
    </xf>
    <xf numFmtId="164" fontId="40" fillId="0" borderId="60" xfId="0" applyNumberFormat="1" applyFont="1" applyFill="1" applyBorder="1" applyAlignment="1">
      <alignment horizontal="center"/>
    </xf>
    <xf numFmtId="164" fontId="16" fillId="0" borderId="61" xfId="0" applyNumberFormat="1" applyFont="1" applyBorder="1"/>
    <xf numFmtId="164" fontId="16" fillId="0" borderId="62" xfId="0" applyNumberFormat="1" applyFont="1" applyBorder="1"/>
    <xf numFmtId="164" fontId="3" fillId="0" borderId="56" xfId="0" applyNumberFormat="1" applyFont="1" applyBorder="1" applyAlignment="1">
      <alignment horizontal="center" wrapText="1"/>
    </xf>
    <xf numFmtId="164" fontId="3" fillId="0" borderId="57" xfId="0" applyNumberFormat="1" applyFont="1" applyBorder="1" applyAlignment="1">
      <alignment horizontal="center" wrapText="1"/>
    </xf>
    <xf numFmtId="164" fontId="3" fillId="0" borderId="55" xfId="0" applyNumberFormat="1" applyFont="1" applyBorder="1" applyAlignment="1">
      <alignment horizontal="center" wrapText="1"/>
    </xf>
    <xf numFmtId="0" fontId="3" fillId="0" borderId="55" xfId="12" applyFont="1" applyFill="1" applyBorder="1" applyAlignment="1">
      <alignment horizontal="center"/>
    </xf>
    <xf numFmtId="0" fontId="3" fillId="0" borderId="56" xfId="12" applyFont="1" applyFill="1" applyBorder="1" applyAlignment="1">
      <alignment horizontal="center"/>
    </xf>
    <xf numFmtId="0" fontId="16" fillId="0" borderId="28" xfId="0" applyFont="1" applyBorder="1"/>
    <xf numFmtId="0" fontId="16" fillId="0" borderId="28" xfId="0" applyFont="1" applyFill="1" applyBorder="1"/>
    <xf numFmtId="0" fontId="16" fillId="0" borderId="28" xfId="0" applyFont="1" applyFill="1" applyBorder="1" applyAlignment="1">
      <alignment horizontal="center"/>
    </xf>
    <xf numFmtId="49" fontId="16" fillId="5" borderId="28" xfId="0" applyNumberFormat="1" applyFont="1" applyFill="1" applyBorder="1"/>
    <xf numFmtId="0" fontId="16" fillId="0" borderId="30" xfId="0" applyFont="1" applyFill="1" applyBorder="1"/>
    <xf numFmtId="0" fontId="16" fillId="0" borderId="31" xfId="0" applyFont="1" applyFill="1" applyBorder="1"/>
    <xf numFmtId="0" fontId="16" fillId="0" borderId="29" xfId="0" applyFont="1" applyFill="1" applyBorder="1"/>
    <xf numFmtId="0" fontId="16" fillId="0" borderId="29" xfId="0" applyFont="1" applyBorder="1"/>
    <xf numFmtId="0" fontId="16" fillId="0" borderId="34" xfId="0" applyFont="1" applyBorder="1"/>
    <xf numFmtId="0" fontId="16" fillId="0" borderId="33" xfId="0" applyFont="1" applyBorder="1"/>
    <xf numFmtId="0" fontId="6" fillId="0" borderId="65" xfId="12" applyFont="1" applyBorder="1" applyAlignment="1">
      <alignment horizontal="center"/>
    </xf>
    <xf numFmtId="164" fontId="6" fillId="0" borderId="65" xfId="12" applyNumberFormat="1" applyFont="1" applyBorder="1" applyAlignment="1">
      <alignment horizontal="center" wrapText="1"/>
    </xf>
    <xf numFmtId="0" fontId="6" fillId="0" borderId="64" xfId="12" applyFont="1" applyBorder="1" applyAlignment="1">
      <alignment horizontal="center"/>
    </xf>
    <xf numFmtId="0" fontId="2" fillId="0" borderId="3" xfId="12" applyBorder="1" applyAlignment="1">
      <alignment horizontal="left"/>
    </xf>
    <xf numFmtId="0" fontId="2" fillId="0" borderId="56" xfId="12" applyBorder="1" applyAlignment="1">
      <alignment horizontal="left"/>
    </xf>
    <xf numFmtId="0" fontId="3" fillId="0" borderId="50" xfId="12" applyFont="1" applyBorder="1" applyAlignment="1">
      <alignment horizontal="center"/>
    </xf>
    <xf numFmtId="0" fontId="2" fillId="0" borderId="51" xfId="12" applyBorder="1"/>
    <xf numFmtId="0" fontId="0" fillId="0" borderId="52" xfId="0" applyBorder="1"/>
    <xf numFmtId="0" fontId="0" fillId="0" borderId="53" xfId="0" applyBorder="1" applyAlignment="1">
      <alignment horizontal="left"/>
    </xf>
    <xf numFmtId="0" fontId="0" fillId="0" borderId="1" xfId="0" applyBorder="1"/>
    <xf numFmtId="0" fontId="0" fillId="0" borderId="54" xfId="0" applyBorder="1"/>
    <xf numFmtId="14" fontId="15" fillId="0" borderId="0" xfId="0" applyNumberFormat="1" applyFont="1"/>
    <xf numFmtId="0" fontId="3" fillId="0" borderId="20" xfId="18" applyFont="1" applyBorder="1" applyAlignment="1">
      <alignment horizontal="center"/>
    </xf>
    <xf numFmtId="0" fontId="2" fillId="0" borderId="0" xfId="12" applyBorder="1"/>
    <xf numFmtId="164" fontId="40" fillId="0" borderId="53" xfId="0" applyNumberFormat="1" applyFont="1" applyFill="1" applyBorder="1" applyAlignment="1">
      <alignment horizontal="center"/>
    </xf>
    <xf numFmtId="164" fontId="16" fillId="0" borderId="54" xfId="0" applyNumberFormat="1" applyFont="1" applyBorder="1"/>
    <xf numFmtId="164" fontId="40" fillId="0" borderId="1" xfId="0" applyNumberFormat="1" applyFont="1" applyFill="1" applyBorder="1" applyAlignment="1">
      <alignment horizontal="center"/>
    </xf>
    <xf numFmtId="49" fontId="16" fillId="0" borderId="49" xfId="0" applyNumberFormat="1" applyFont="1" applyBorder="1"/>
    <xf numFmtId="49" fontId="16" fillId="0" borderId="60" xfId="0" applyNumberFormat="1" applyFont="1" applyBorder="1"/>
    <xf numFmtId="49" fontId="16" fillId="0" borderId="62" xfId="0" applyNumberFormat="1" applyFont="1" applyBorder="1"/>
    <xf numFmtId="0" fontId="44" fillId="0" borderId="0" xfId="1412"/>
    <xf numFmtId="14" fontId="2" fillId="0" borderId="0" xfId="1412" applyNumberFormat="1" applyFont="1" applyAlignment="1">
      <alignment horizontal="center"/>
    </xf>
    <xf numFmtId="0" fontId="2" fillId="0" borderId="0" xfId="1412" applyFont="1" applyFill="1" applyAlignment="1">
      <alignment horizontal="center"/>
    </xf>
    <xf numFmtId="0" fontId="44" fillId="0" borderId="0" xfId="1413"/>
    <xf numFmtId="0" fontId="2" fillId="0" borderId="0" xfId="1413" applyFont="1" applyFill="1" applyAlignment="1">
      <alignment horizontal="center"/>
    </xf>
    <xf numFmtId="164" fontId="2" fillId="0" borderId="0" xfId="1413" applyNumberFormat="1" applyFont="1" applyFill="1" applyAlignment="1">
      <alignment horizontal="center"/>
    </xf>
    <xf numFmtId="0" fontId="2" fillId="0" borderId="0" xfId="5688" applyFont="1" applyFill="1" applyAlignment="1">
      <alignment horizontal="center"/>
    </xf>
    <xf numFmtId="0" fontId="2" fillId="0" borderId="0" xfId="5689" applyFont="1" applyFill="1" applyAlignment="1">
      <alignment horizontal="center"/>
    </xf>
    <xf numFmtId="164" fontId="2" fillId="0" borderId="0" xfId="1412" applyNumberFormat="1" applyFont="1" applyFill="1" applyAlignment="1">
      <alignment horizontal="center"/>
    </xf>
    <xf numFmtId="164" fontId="2" fillId="0" borderId="0" xfId="5688" applyNumberFormat="1" applyFont="1" applyFill="1" applyAlignment="1">
      <alignment horizontal="center"/>
    </xf>
    <xf numFmtId="164" fontId="2" fillId="0" borderId="0" xfId="5689" applyNumberFormat="1" applyFont="1" applyFill="1" applyAlignment="1">
      <alignment horizontal="center"/>
    </xf>
    <xf numFmtId="0" fontId="16" fillId="5" borderId="26" xfId="0" applyFont="1" applyFill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16" fillId="5" borderId="48" xfId="0" applyFont="1" applyFill="1" applyBorder="1" applyAlignment="1">
      <alignment horizontal="center"/>
    </xf>
    <xf numFmtId="0" fontId="16" fillId="0" borderId="48" xfId="0" applyFont="1" applyBorder="1" applyAlignment="1">
      <alignment horizontal="center"/>
    </xf>
    <xf numFmtId="49" fontId="16" fillId="0" borderId="73" xfId="0" applyNumberFormat="1" applyFont="1" applyBorder="1"/>
    <xf numFmtId="49" fontId="16" fillId="0" borderId="74" xfId="0" applyNumberFormat="1" applyFont="1" applyBorder="1"/>
    <xf numFmtId="49" fontId="16" fillId="0" borderId="75" xfId="0" applyNumberFormat="1" applyFont="1" applyBorder="1"/>
    <xf numFmtId="0" fontId="16" fillId="0" borderId="76" xfId="0" applyFont="1" applyFill="1" applyBorder="1"/>
    <xf numFmtId="0" fontId="16" fillId="0" borderId="21" xfId="0" applyFont="1" applyFill="1" applyBorder="1"/>
    <xf numFmtId="0" fontId="16" fillId="0" borderId="21" xfId="0" applyFont="1" applyBorder="1"/>
    <xf numFmtId="0" fontId="16" fillId="0" borderId="35" xfId="0" applyFont="1" applyBorder="1"/>
    <xf numFmtId="0" fontId="16" fillId="0" borderId="68" xfId="0" applyFont="1" applyFill="1" applyBorder="1"/>
    <xf numFmtId="0" fontId="16" fillId="0" borderId="68" xfId="0" applyFont="1" applyBorder="1"/>
    <xf numFmtId="0" fontId="16" fillId="0" borderId="69" xfId="0" applyFont="1" applyBorder="1"/>
    <xf numFmtId="0" fontId="16" fillId="0" borderId="66" xfId="0" applyFont="1" applyFill="1" applyBorder="1"/>
    <xf numFmtId="0" fontId="16" fillId="5" borderId="66" xfId="0" applyFont="1" applyFill="1" applyBorder="1"/>
    <xf numFmtId="0" fontId="16" fillId="0" borderId="66" xfId="0" applyFont="1" applyBorder="1"/>
    <xf numFmtId="0" fontId="16" fillId="0" borderId="67" xfId="0" applyFont="1" applyBorder="1"/>
    <xf numFmtId="0" fontId="16" fillId="5" borderId="49" xfId="0" applyFont="1" applyFill="1" applyBorder="1" applyAlignment="1">
      <alignment horizontal="center"/>
    </xf>
    <xf numFmtId="0" fontId="16" fillId="0" borderId="49" xfId="0" applyFont="1" applyBorder="1" applyAlignment="1">
      <alignment horizontal="center"/>
    </xf>
    <xf numFmtId="164" fontId="40" fillId="0" borderId="0" xfId="0" applyNumberFormat="1" applyFont="1" applyFill="1" applyBorder="1" applyAlignment="1">
      <alignment horizontal="center"/>
    </xf>
    <xf numFmtId="49" fontId="16" fillId="0" borderId="0" xfId="0" applyNumberFormat="1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14" fontId="9" fillId="5" borderId="78" xfId="8" applyNumberFormat="1" applyFont="1" applyFill="1" applyBorder="1" applyAlignment="1">
      <alignment horizontal="center" wrapText="1"/>
    </xf>
    <xf numFmtId="0" fontId="9" fillId="0" borderId="79" xfId="8" applyFont="1" applyBorder="1" applyAlignment="1">
      <alignment horizontal="center" wrapText="1"/>
    </xf>
    <xf numFmtId="164" fontId="9" fillId="0" borderId="77" xfId="8" applyNumberFormat="1" applyFont="1" applyFill="1" applyBorder="1" applyAlignment="1">
      <alignment horizontal="center" wrapText="1"/>
    </xf>
    <xf numFmtId="0" fontId="45" fillId="0" borderId="36" xfId="18" applyFont="1" applyBorder="1" applyAlignment="1">
      <alignment horizontal="center"/>
    </xf>
    <xf numFmtId="0" fontId="45" fillId="0" borderId="37" xfId="18" applyFont="1" applyBorder="1" applyAlignment="1">
      <alignment horizontal="center"/>
    </xf>
    <xf numFmtId="0" fontId="16" fillId="0" borderId="26" xfId="0" applyFont="1" applyBorder="1"/>
    <xf numFmtId="0" fontId="15" fillId="0" borderId="26" xfId="0" applyFont="1" applyBorder="1"/>
    <xf numFmtId="0" fontId="16" fillId="0" borderId="80" xfId="0" applyFont="1" applyBorder="1"/>
    <xf numFmtId="0" fontId="16" fillId="0" borderId="81" xfId="0" applyFont="1" applyBorder="1"/>
    <xf numFmtId="0" fontId="16" fillId="0" borderId="82" xfId="0" applyFont="1" applyBorder="1"/>
    <xf numFmtId="0" fontId="16" fillId="5" borderId="70" xfId="0" applyFont="1" applyFill="1" applyBorder="1" applyAlignment="1">
      <alignment horizontal="center"/>
    </xf>
    <xf numFmtId="0" fontId="16" fillId="5" borderId="71" xfId="0" applyFont="1" applyFill="1" applyBorder="1" applyAlignment="1">
      <alignment horizontal="center"/>
    </xf>
    <xf numFmtId="0" fontId="16" fillId="0" borderId="71" xfId="0" applyFont="1" applyBorder="1" applyAlignment="1">
      <alignment horizontal="center"/>
    </xf>
    <xf numFmtId="0" fontId="16" fillId="0" borderId="72" xfId="0" applyFont="1" applyBorder="1" applyAlignment="1">
      <alignment horizontal="center"/>
    </xf>
    <xf numFmtId="0" fontId="16" fillId="5" borderId="60" xfId="0" applyFont="1" applyFill="1" applyBorder="1" applyAlignment="1">
      <alignment horizontal="center"/>
    </xf>
    <xf numFmtId="0" fontId="16" fillId="0" borderId="62" xfId="0" applyFont="1" applyBorder="1" applyAlignment="1">
      <alignment horizontal="center"/>
    </xf>
    <xf numFmtId="49" fontId="16" fillId="5" borderId="60" xfId="0" applyNumberFormat="1" applyFont="1" applyFill="1" applyBorder="1" applyAlignment="1">
      <alignment horizontal="center"/>
    </xf>
    <xf numFmtId="0" fontId="42" fillId="5" borderId="60" xfId="0" applyFont="1" applyFill="1" applyBorder="1" applyAlignment="1">
      <alignment horizontal="center"/>
    </xf>
    <xf numFmtId="49" fontId="42" fillId="5" borderId="60" xfId="0" applyNumberFormat="1" applyFont="1" applyFill="1" applyBorder="1" applyAlignment="1">
      <alignment horizontal="center"/>
    </xf>
    <xf numFmtId="49" fontId="16" fillId="5" borderId="83" xfId="0" applyNumberFormat="1" applyFont="1" applyFill="1" applyBorder="1" applyAlignment="1">
      <alignment horizontal="center"/>
    </xf>
    <xf numFmtId="0" fontId="16" fillId="0" borderId="84" xfId="0" applyFont="1" applyBorder="1" applyAlignment="1">
      <alignment horizontal="center"/>
    </xf>
    <xf numFmtId="49" fontId="16" fillId="5" borderId="53" xfId="0" applyNumberFormat="1" applyFont="1" applyFill="1" applyBorder="1" applyAlignment="1">
      <alignment horizontal="center"/>
    </xf>
    <xf numFmtId="0" fontId="16" fillId="5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54" xfId="0" applyFont="1" applyBorder="1" applyAlignment="1">
      <alignment horizontal="center"/>
    </xf>
    <xf numFmtId="164" fontId="0" fillId="0" borderId="70" xfId="0" applyNumberFormat="1" applyFill="1" applyBorder="1" applyAlignment="1">
      <alignment horizontal="center"/>
    </xf>
    <xf numFmtId="164" fontId="40" fillId="0" borderId="71" xfId="0" applyNumberFormat="1" applyFont="1" applyFill="1" applyBorder="1" applyAlignment="1">
      <alignment horizontal="center"/>
    </xf>
    <xf numFmtId="164" fontId="0" fillId="0" borderId="60" xfId="0" applyNumberFormat="1" applyFill="1" applyBorder="1" applyAlignment="1">
      <alignment horizontal="center"/>
    </xf>
    <xf numFmtId="0" fontId="3" fillId="5" borderId="55" xfId="12" applyFont="1" applyFill="1" applyBorder="1" applyAlignment="1">
      <alignment horizontal="center"/>
    </xf>
    <xf numFmtId="0" fontId="3" fillId="5" borderId="56" xfId="12" applyFont="1" applyFill="1" applyBorder="1" applyAlignment="1">
      <alignment horizontal="center"/>
    </xf>
    <xf numFmtId="0" fontId="3" fillId="0" borderId="56" xfId="12" applyFont="1" applyBorder="1" applyAlignment="1">
      <alignment horizontal="center"/>
    </xf>
    <xf numFmtId="0" fontId="3" fillId="0" borderId="57" xfId="12" applyFont="1" applyBorder="1" applyAlignment="1">
      <alignment horizontal="center" wrapText="1"/>
    </xf>
    <xf numFmtId="0" fontId="0" fillId="0" borderId="0" xfId="0" applyFont="1" applyFill="1" applyAlignment="1">
      <alignment horizontal="center" vertical="top"/>
    </xf>
    <xf numFmtId="14" fontId="0" fillId="0" borderId="0" xfId="0" applyNumberFormat="1" applyFont="1" applyFill="1" applyAlignment="1">
      <alignment horizontal="center" vertical="top"/>
    </xf>
    <xf numFmtId="164" fontId="0" fillId="0" borderId="0" xfId="0" applyNumberFormat="1" applyFont="1" applyFill="1" applyAlignment="1">
      <alignment horizontal="center" vertical="top"/>
    </xf>
    <xf numFmtId="0" fontId="0" fillId="0" borderId="0" xfId="0" applyFont="1" applyFill="1"/>
    <xf numFmtId="164" fontId="0" fillId="0" borderId="73" xfId="0" applyNumberFormat="1" applyFill="1" applyBorder="1" applyAlignment="1">
      <alignment horizontal="center"/>
    </xf>
    <xf numFmtId="164" fontId="40" fillId="0" borderId="74" xfId="0" applyNumberFormat="1" applyFont="1" applyFill="1" applyBorder="1" applyAlignment="1">
      <alignment horizontal="center"/>
    </xf>
    <xf numFmtId="0" fontId="15" fillId="0" borderId="68" xfId="0" applyFont="1" applyBorder="1"/>
    <xf numFmtId="0" fontId="16" fillId="0" borderId="0" xfId="0" applyFont="1" applyAlignment="1">
      <alignment wrapText="1"/>
    </xf>
    <xf numFmtId="0" fontId="16" fillId="0" borderId="86" xfId="0" applyFont="1" applyBorder="1"/>
    <xf numFmtId="1" fontId="15" fillId="0" borderId="0" xfId="0" applyNumberFormat="1" applyFont="1"/>
    <xf numFmtId="1" fontId="16" fillId="0" borderId="0" xfId="0" applyNumberFormat="1" applyFont="1"/>
    <xf numFmtId="1" fontId="9" fillId="0" borderId="77" xfId="8" applyNumberFormat="1" applyFont="1" applyFill="1" applyBorder="1" applyAlignment="1">
      <alignment horizontal="center" wrapText="1"/>
    </xf>
    <xf numFmtId="14" fontId="16" fillId="0" borderId="0" xfId="0" applyNumberFormat="1" applyFont="1"/>
    <xf numFmtId="14" fontId="9" fillId="5" borderId="27" xfId="8" applyNumberFormat="1" applyFont="1" applyFill="1" applyBorder="1" applyAlignment="1">
      <alignment horizontal="center" wrapText="1"/>
    </xf>
    <xf numFmtId="14" fontId="16" fillId="0" borderId="0" xfId="0" applyNumberFormat="1" applyFont="1" applyAlignment="1">
      <alignment horizontal="center" vertical="top"/>
    </xf>
    <xf numFmtId="0" fontId="16" fillId="0" borderId="0" xfId="0" applyFont="1" applyAlignment="1">
      <alignment horizontal="center" vertical="top"/>
    </xf>
    <xf numFmtId="1" fontId="16" fillId="0" borderId="0" xfId="0" applyNumberFormat="1" applyFont="1" applyAlignment="1">
      <alignment horizontal="center" vertical="top"/>
    </xf>
    <xf numFmtId="0" fontId="42" fillId="5" borderId="87" xfId="0" applyFont="1" applyFill="1" applyBorder="1" applyAlignment="1">
      <alignment horizontal="center"/>
    </xf>
    <xf numFmtId="0" fontId="16" fillId="5" borderId="88" xfId="0" applyFont="1" applyFill="1" applyBorder="1" applyAlignment="1">
      <alignment horizontal="center"/>
    </xf>
    <xf numFmtId="0" fontId="16" fillId="0" borderId="88" xfId="0" applyFont="1" applyBorder="1" applyAlignment="1">
      <alignment horizontal="center"/>
    </xf>
    <xf numFmtId="0" fontId="16" fillId="0" borderId="89" xfId="0" applyFont="1" applyBorder="1" applyAlignment="1">
      <alignment horizontal="center"/>
    </xf>
    <xf numFmtId="164" fontId="0" fillId="0" borderId="87" xfId="0" applyNumberFormat="1" applyFill="1" applyBorder="1" applyAlignment="1">
      <alignment horizontal="center"/>
    </xf>
    <xf numFmtId="164" fontId="40" fillId="0" borderId="88" xfId="0" applyNumberFormat="1" applyFont="1" applyFill="1" applyBorder="1" applyAlignment="1">
      <alignment horizontal="center"/>
    </xf>
    <xf numFmtId="0" fontId="16" fillId="0" borderId="90" xfId="0" applyFont="1" applyFill="1" applyBorder="1"/>
    <xf numFmtId="0" fontId="16" fillId="0" borderId="90" xfId="0" applyFont="1" applyBorder="1"/>
    <xf numFmtId="0" fontId="2" fillId="0" borderId="16" xfId="18" applyFont="1" applyBorder="1"/>
    <xf numFmtId="0" fontId="2" fillId="0" borderId="17" xfId="18" applyFont="1" applyBorder="1"/>
    <xf numFmtId="0" fontId="3" fillId="0" borderId="6" xfId="18" applyFont="1" applyBorder="1" applyAlignment="1">
      <alignment horizontal="right"/>
    </xf>
    <xf numFmtId="0" fontId="3" fillId="0" borderId="7" xfId="18" applyFont="1" applyBorder="1"/>
    <xf numFmtId="0" fontId="3" fillId="0" borderId="8" xfId="18" applyFont="1" applyBorder="1" applyAlignment="1">
      <alignment horizontal="right"/>
    </xf>
    <xf numFmtId="0" fontId="3" fillId="0" borderId="86" xfId="18" applyFont="1" applyBorder="1"/>
    <xf numFmtId="0" fontId="18" fillId="0" borderId="86" xfId="0" applyFont="1" applyBorder="1"/>
    <xf numFmtId="0" fontId="2" fillId="0" borderId="18" xfId="18" applyFont="1" applyBorder="1"/>
    <xf numFmtId="0" fontId="3" fillId="0" borderId="5" xfId="18" applyFont="1" applyBorder="1"/>
    <xf numFmtId="0" fontId="2" fillId="0" borderId="13" xfId="18" applyFont="1" applyBorder="1" applyAlignment="1">
      <alignment horizontal="center"/>
    </xf>
    <xf numFmtId="0" fontId="2" fillId="0" borderId="91" xfId="12" applyFont="1" applyBorder="1" applyAlignment="1">
      <alignment horizontal="center"/>
    </xf>
    <xf numFmtId="0" fontId="2" fillId="2" borderId="91" xfId="18" applyFont="1" applyFill="1" applyBorder="1" applyAlignment="1">
      <alignment horizontal="center"/>
    </xf>
    <xf numFmtId="0" fontId="3" fillId="0" borderId="19" xfId="18" applyFont="1" applyBorder="1"/>
    <xf numFmtId="2" fontId="2" fillId="2" borderId="85" xfId="18" applyNumberFormat="1" applyFont="1" applyFill="1" applyBorder="1" applyAlignment="1">
      <alignment horizontal="center"/>
    </xf>
    <xf numFmtId="0" fontId="2" fillId="0" borderId="92" xfId="12" applyBorder="1"/>
    <xf numFmtId="0" fontId="2" fillId="0" borderId="93" xfId="12" applyBorder="1"/>
    <xf numFmtId="0" fontId="2" fillId="0" borderId="94" xfId="12" applyBorder="1" applyAlignment="1">
      <alignment horizontal="center"/>
    </xf>
    <xf numFmtId="14" fontId="6" fillId="0" borderId="0" xfId="12" applyNumberFormat="1" applyFont="1"/>
    <xf numFmtId="0" fontId="16" fillId="0" borderId="0" xfId="0" applyFont="1" applyBorder="1" applyAlignment="1">
      <alignment horizontal="right"/>
    </xf>
    <xf numFmtId="0" fontId="16" fillId="0" borderId="0" xfId="0" applyFont="1" applyAlignment="1">
      <alignment horizontal="right"/>
    </xf>
    <xf numFmtId="0" fontId="16" fillId="0" borderId="9" xfId="0" applyFont="1" applyBorder="1" applyAlignment="1">
      <alignment horizontal="right"/>
    </xf>
    <xf numFmtId="164" fontId="2" fillId="0" borderId="0" xfId="12" applyNumberFormat="1" applyFont="1" applyFill="1" applyAlignment="1">
      <alignment horizontal="right"/>
    </xf>
    <xf numFmtId="164" fontId="3" fillId="0" borderId="56" xfId="0" applyNumberFormat="1" applyFont="1" applyBorder="1" applyAlignment="1">
      <alignment horizontal="right"/>
    </xf>
    <xf numFmtId="0" fontId="0" fillId="0" borderId="49" xfId="0" applyBorder="1" applyAlignment="1">
      <alignment horizontal="right"/>
    </xf>
    <xf numFmtId="0" fontId="41" fillId="0" borderId="49" xfId="0" applyFont="1" applyBorder="1" applyAlignment="1">
      <alignment horizontal="right"/>
    </xf>
    <xf numFmtId="0" fontId="0" fillId="0" borderId="88" xfId="0" applyBorder="1" applyAlignment="1">
      <alignment horizontal="right"/>
    </xf>
    <xf numFmtId="0" fontId="0" fillId="0" borderId="74" xfId="0" applyBorder="1" applyAlignment="1">
      <alignment horizontal="right"/>
    </xf>
    <xf numFmtId="0" fontId="0" fillId="0" borderId="0" xfId="0" applyBorder="1" applyAlignment="1">
      <alignment horizontal="right"/>
    </xf>
    <xf numFmtId="0" fontId="16" fillId="0" borderId="59" xfId="0" applyFont="1" applyBorder="1" applyAlignment="1">
      <alignment horizontal="right"/>
    </xf>
    <xf numFmtId="0" fontId="16" fillId="0" borderId="49" xfId="0" applyFont="1" applyBorder="1" applyAlignment="1">
      <alignment horizontal="right"/>
    </xf>
    <xf numFmtId="0" fontId="16" fillId="0" borderId="1" xfId="0" applyFont="1" applyBorder="1" applyAlignment="1">
      <alignment horizontal="right"/>
    </xf>
    <xf numFmtId="0" fontId="0" fillId="0" borderId="71" xfId="0" applyFont="1" applyBorder="1" applyAlignment="1">
      <alignment horizontal="right"/>
    </xf>
    <xf numFmtId="164" fontId="40" fillId="4" borderId="49" xfId="0" applyNumberFormat="1" applyFont="1" applyFill="1" applyBorder="1" applyAlignment="1">
      <alignment horizontal="center"/>
    </xf>
    <xf numFmtId="164" fontId="40" fillId="4" borderId="74" xfId="0" applyNumberFormat="1" applyFont="1" applyFill="1" applyBorder="1" applyAlignment="1">
      <alignment horizontal="center"/>
    </xf>
    <xf numFmtId="164" fontId="40" fillId="4" borderId="62" xfId="0" applyNumberFormat="1" applyFont="1" applyFill="1" applyBorder="1" applyAlignment="1">
      <alignment horizontal="center"/>
    </xf>
    <xf numFmtId="164" fontId="40" fillId="4" borderId="75" xfId="0" applyNumberFormat="1" applyFont="1" applyFill="1" applyBorder="1" applyAlignment="1">
      <alignment horizontal="center"/>
    </xf>
    <xf numFmtId="164" fontId="40" fillId="4" borderId="26" xfId="0" applyNumberFormat="1" applyFont="1" applyFill="1" applyBorder="1" applyAlignment="1">
      <alignment horizontal="center"/>
    </xf>
    <xf numFmtId="164" fontId="40" fillId="4" borderId="80" xfId="0" applyNumberFormat="1" applyFont="1" applyFill="1" applyBorder="1" applyAlignment="1">
      <alignment horizontal="center"/>
    </xf>
    <xf numFmtId="164" fontId="40" fillId="4" borderId="81" xfId="0" applyNumberFormat="1" applyFont="1" applyFill="1" applyBorder="1" applyAlignment="1">
      <alignment horizontal="center"/>
    </xf>
    <xf numFmtId="164" fontId="40" fillId="4" borderId="82" xfId="0" applyNumberFormat="1" applyFont="1" applyFill="1" applyBorder="1" applyAlignment="1">
      <alignment horizontal="center"/>
    </xf>
    <xf numFmtId="164" fontId="40" fillId="4" borderId="95" xfId="0" applyNumberFormat="1" applyFont="1" applyFill="1" applyBorder="1" applyAlignment="1">
      <alignment horizontal="center"/>
    </xf>
    <xf numFmtId="1" fontId="0" fillId="0" borderId="2" xfId="0" applyNumberFormat="1" applyFont="1" applyFill="1" applyBorder="1" applyAlignment="1">
      <alignment horizontal="left"/>
    </xf>
    <xf numFmtId="1" fontId="0" fillId="0" borderId="4" xfId="0" applyNumberFormat="1" applyFont="1" applyFill="1" applyBorder="1" applyAlignment="1">
      <alignment horizontal="left"/>
    </xf>
    <xf numFmtId="1" fontId="0" fillId="0" borderId="3" xfId="0" applyNumberFormat="1" applyFont="1" applyFill="1" applyBorder="1" applyAlignment="1">
      <alignment horizontal="left"/>
    </xf>
    <xf numFmtId="1" fontId="0" fillId="0" borderId="0" xfId="0" applyNumberFormat="1" applyFont="1" applyAlignment="1">
      <alignment horizontal="left"/>
    </xf>
    <xf numFmtId="1" fontId="0" fillId="0" borderId="0" xfId="0" applyNumberFormat="1" applyFont="1" applyBorder="1" applyAlignment="1">
      <alignment horizontal="left"/>
    </xf>
    <xf numFmtId="1" fontId="0" fillId="0" borderId="0" xfId="0" quotePrefix="1" applyNumberFormat="1" applyFont="1" applyBorder="1" applyAlignment="1">
      <alignment horizontal="left"/>
    </xf>
    <xf numFmtId="1" fontId="0" fillId="0" borderId="9" xfId="0" applyNumberFormat="1" applyFont="1" applyBorder="1" applyAlignment="1">
      <alignment horizontal="left"/>
    </xf>
    <xf numFmtId="1" fontId="46" fillId="0" borderId="0" xfId="0" applyNumberFormat="1" applyFont="1" applyBorder="1" applyAlignment="1">
      <alignment horizontal="left" wrapText="1"/>
    </xf>
    <xf numFmtId="1" fontId="0" fillId="0" borderId="4" xfId="0" applyNumberFormat="1" applyFont="1" applyBorder="1" applyAlignment="1">
      <alignment horizontal="left"/>
    </xf>
    <xf numFmtId="1" fontId="0" fillId="0" borderId="2" xfId="0" applyNumberFormat="1" applyFont="1" applyBorder="1" applyAlignment="1">
      <alignment horizontal="left"/>
    </xf>
    <xf numFmtId="1" fontId="0" fillId="0" borderId="3" xfId="0" applyNumberFormat="1" applyFont="1" applyBorder="1" applyAlignment="1">
      <alignment horizontal="left"/>
    </xf>
    <xf numFmtId="14" fontId="2" fillId="0" borderId="0" xfId="0" applyNumberFormat="1" applyFont="1" applyBorder="1" applyAlignment="1">
      <alignment horizontal="left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14" fontId="2" fillId="0" borderId="0" xfId="0" applyNumberFormat="1" applyFont="1" applyBorder="1" applyAlignment="1">
      <alignment horizontal="center" vertical="center"/>
    </xf>
    <xf numFmtId="164" fontId="2" fillId="28" borderId="47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47" fillId="0" borderId="0" xfId="0" applyFont="1" applyBorder="1" applyAlignment="1">
      <alignment horizontal="left" vertical="center" wrapText="1"/>
    </xf>
    <xf numFmtId="1" fontId="48" fillId="29" borderId="0" xfId="0" applyNumberFormat="1" applyFont="1" applyFill="1" applyBorder="1" applyAlignment="1">
      <alignment horizontal="center" vertical="center"/>
    </xf>
    <xf numFmtId="164" fontId="48" fillId="29" borderId="0" xfId="0" applyNumberFormat="1" applyFont="1" applyFill="1" applyBorder="1" applyAlignment="1">
      <alignment horizontal="center" vertical="center"/>
    </xf>
    <xf numFmtId="164" fontId="2" fillId="28" borderId="38" xfId="0" applyNumberFormat="1" applyFont="1" applyFill="1" applyBorder="1" applyAlignment="1">
      <alignment horizontal="center" vertical="center"/>
    </xf>
    <xf numFmtId="0" fontId="18" fillId="0" borderId="54" xfId="0" applyFont="1" applyBorder="1" applyAlignment="1">
      <alignment horizontal="right" vertical="center"/>
    </xf>
    <xf numFmtId="0" fontId="16" fillId="4" borderId="29" xfId="0" applyFont="1" applyFill="1" applyBorder="1"/>
    <xf numFmtId="0" fontId="15" fillId="0" borderId="32" xfId="0" applyFont="1" applyBorder="1" applyAlignment="1"/>
    <xf numFmtId="0" fontId="13" fillId="0" borderId="63" xfId="0" applyFont="1" applyBorder="1" applyAlignment="1"/>
    <xf numFmtId="0" fontId="15" fillId="0" borderId="96" xfId="0" applyFont="1" applyBorder="1" applyAlignment="1"/>
    <xf numFmtId="0" fontId="13" fillId="0" borderId="65" xfId="0" applyFont="1" applyBorder="1" applyAlignment="1"/>
  </cellXfs>
  <cellStyles count="5690">
    <cellStyle name="20% - Accent1 2" xfId="78"/>
    <cellStyle name="20% - Accent1 2 2" xfId="236"/>
    <cellStyle name="20% - Accent1 3" xfId="126"/>
    <cellStyle name="20% - Accent2 2" xfId="79"/>
    <cellStyle name="20% - Accent2 2 2" xfId="237"/>
    <cellStyle name="20% - Accent2 3" xfId="127"/>
    <cellStyle name="20% - Accent3 2" xfId="80"/>
    <cellStyle name="20% - Accent3 2 2" xfId="238"/>
    <cellStyle name="20% - Accent3 3" xfId="128"/>
    <cellStyle name="20% - Accent4 2" xfId="81"/>
    <cellStyle name="20% - Accent4 2 2" xfId="239"/>
    <cellStyle name="20% - Accent4 3" xfId="129"/>
    <cellStyle name="20% - Accent5 2" xfId="82"/>
    <cellStyle name="20% - Accent5 2 2" xfId="240"/>
    <cellStyle name="20% - Accent5 3" xfId="130"/>
    <cellStyle name="20% - Accent6 2" xfId="83"/>
    <cellStyle name="20% - Accent6 2 2" xfId="241"/>
    <cellStyle name="20% - Accent6 3" xfId="131"/>
    <cellStyle name="40% - Accent1 2" xfId="84"/>
    <cellStyle name="40% - Accent1 2 2" xfId="242"/>
    <cellStyle name="40% - Accent1 3" xfId="132"/>
    <cellStyle name="40% - Accent2 2" xfId="85"/>
    <cellStyle name="40% - Accent2 2 2" xfId="243"/>
    <cellStyle name="40% - Accent2 3" xfId="133"/>
    <cellStyle name="40% - Accent3 2" xfId="86"/>
    <cellStyle name="40% - Accent3 2 2" xfId="244"/>
    <cellStyle name="40% - Accent3 3" xfId="134"/>
    <cellStyle name="40% - Accent4 2" xfId="87"/>
    <cellStyle name="40% - Accent4 2 2" xfId="245"/>
    <cellStyle name="40% - Accent4 3" xfId="135"/>
    <cellStyle name="40% - Accent5 2" xfId="88"/>
    <cellStyle name="40% - Accent5 2 2" xfId="246"/>
    <cellStyle name="40% - Accent5 3" xfId="136"/>
    <cellStyle name="40% - Accent6 2" xfId="89"/>
    <cellStyle name="40% - Accent6 2 2" xfId="247"/>
    <cellStyle name="40% - Accent6 3" xfId="137"/>
    <cellStyle name="60% - Accent1 2" xfId="90"/>
    <cellStyle name="60% - Accent1 2 2" xfId="248"/>
    <cellStyle name="60% - Accent1 3" xfId="138"/>
    <cellStyle name="60% - Accent2 2" xfId="91"/>
    <cellStyle name="60% - Accent2 2 2" xfId="249"/>
    <cellStyle name="60% - Accent2 3" xfId="139"/>
    <cellStyle name="60% - Accent3 2" xfId="92"/>
    <cellStyle name="60% - Accent3 2 2" xfId="250"/>
    <cellStyle name="60% - Accent3 3" xfId="140"/>
    <cellStyle name="60% - Accent4 2" xfId="93"/>
    <cellStyle name="60% - Accent4 2 2" xfId="251"/>
    <cellStyle name="60% - Accent4 3" xfId="141"/>
    <cellStyle name="60% - Accent5 2" xfId="94"/>
    <cellStyle name="60% - Accent5 2 2" xfId="252"/>
    <cellStyle name="60% - Accent5 3" xfId="142"/>
    <cellStyle name="60% - Accent6 2" xfId="95"/>
    <cellStyle name="60% - Accent6 2 2" xfId="253"/>
    <cellStyle name="60% - Accent6 3" xfId="143"/>
    <cellStyle name="Accent1 2" xfId="96"/>
    <cellStyle name="Accent1 2 2" xfId="254"/>
    <cellStyle name="Accent1 3" xfId="144"/>
    <cellStyle name="Accent2 2" xfId="97"/>
    <cellStyle name="Accent2 2 2" xfId="255"/>
    <cellStyle name="Accent2 3" xfId="145"/>
    <cellStyle name="Accent3 2" xfId="98"/>
    <cellStyle name="Accent3 2 2" xfId="256"/>
    <cellStyle name="Accent3 3" xfId="146"/>
    <cellStyle name="Accent4 2" xfId="99"/>
    <cellStyle name="Accent4 2 2" xfId="257"/>
    <cellStyle name="Accent4 3" xfId="147"/>
    <cellStyle name="Accent5 2" xfId="100"/>
    <cellStyle name="Accent5 2 2" xfId="258"/>
    <cellStyle name="Accent5 3" xfId="148"/>
    <cellStyle name="Accent6 2" xfId="101"/>
    <cellStyle name="Accent6 2 2" xfId="259"/>
    <cellStyle name="Accent6 3" xfId="149"/>
    <cellStyle name="Bad" xfId="102"/>
    <cellStyle name="Bad 2" xfId="150"/>
    <cellStyle name="Berekening 2" xfId="151"/>
    <cellStyle name="Berekening 2 2" xfId="152"/>
    <cellStyle name="Berekening 2 2 2" xfId="559"/>
    <cellStyle name="Berekening 2 2 2 2" xfId="2521"/>
    <cellStyle name="Berekening 2 2 3" xfId="1417"/>
    <cellStyle name="Berekening 2 3" xfId="545"/>
    <cellStyle name="Berekening 2 3 2" xfId="2509"/>
    <cellStyle name="Berekening 2 4" xfId="1423"/>
    <cellStyle name="Berekening 3" xfId="153"/>
    <cellStyle name="Berekening 3 2" xfId="265"/>
    <cellStyle name="Berekening 3 2 2" xfId="565"/>
    <cellStyle name="Berekening 3 2 2 2" xfId="2523"/>
    <cellStyle name="Berekening 3 2 3" xfId="1468"/>
    <cellStyle name="Berekening 3 3" xfId="569"/>
    <cellStyle name="Berekening 3 3 2" xfId="2527"/>
    <cellStyle name="Berekening 3 4" xfId="1502"/>
    <cellStyle name="Berekening 4" xfId="154"/>
    <cellStyle name="Berekening 4 2" xfId="558"/>
    <cellStyle name="Berekening 4 2 2" xfId="2520"/>
    <cellStyle name="Berekening 4 3" xfId="1504"/>
    <cellStyle name="Calculation" xfId="103"/>
    <cellStyle name="Calculation 2" xfId="155"/>
    <cellStyle name="Calculation 2 2" xfId="551"/>
    <cellStyle name="Calculation 2 2 2" xfId="2515"/>
    <cellStyle name="Calculation 2 3" xfId="1467"/>
    <cellStyle name="Calculation 3" xfId="550"/>
    <cellStyle name="Calculation 3 2" xfId="2514"/>
    <cellStyle name="Calculation 4" xfId="1558"/>
    <cellStyle name="Check Cell" xfId="104"/>
    <cellStyle name="Check Cell 2" xfId="156"/>
    <cellStyle name="Controlecel 2" xfId="157"/>
    <cellStyle name="Controlecel 2 2" xfId="158"/>
    <cellStyle name="Controlecel 3" xfId="159"/>
    <cellStyle name="Controlecel 3 2" xfId="266"/>
    <cellStyle name="Controlecel 4" xfId="160"/>
    <cellStyle name="Explanatory Text" xfId="105"/>
    <cellStyle name="Explanatory Text 2" xfId="161"/>
    <cellStyle name="Gekoppelde cel 2" xfId="162"/>
    <cellStyle name="Gekoppelde cel 2 2" xfId="163"/>
    <cellStyle name="Gekoppelde cel 3" xfId="164"/>
    <cellStyle name="Gekoppelde cel 3 2" xfId="267"/>
    <cellStyle name="Gekoppelde cel 4" xfId="165"/>
    <cellStyle name="Goed 2" xfId="166"/>
    <cellStyle name="Goed 2 2" xfId="167"/>
    <cellStyle name="Goed 3" xfId="168"/>
    <cellStyle name="Goed 3 2" xfId="268"/>
    <cellStyle name="Goed 4" xfId="169"/>
    <cellStyle name="Good" xfId="106"/>
    <cellStyle name="Good 2" xfId="170"/>
    <cellStyle name="Heading 1" xfId="107"/>
    <cellStyle name="Heading 1 2" xfId="171"/>
    <cellStyle name="Heading 2" xfId="108"/>
    <cellStyle name="Heading 2 2" xfId="172"/>
    <cellStyle name="Heading 3" xfId="109"/>
    <cellStyle name="Heading 3 2" xfId="173"/>
    <cellStyle name="Heading 4" xfId="110"/>
    <cellStyle name="Heading 4 2" xfId="174"/>
    <cellStyle name="Hyperlink 2" xfId="111"/>
    <cellStyle name="Input" xfId="112"/>
    <cellStyle name="Input 2" xfId="175"/>
    <cellStyle name="Input 2 2" xfId="430"/>
    <cellStyle name="Input 2 2 2" xfId="2498"/>
    <cellStyle name="Input 2 3" xfId="1688"/>
    <cellStyle name="Input 3" xfId="549"/>
    <cellStyle name="Input 3 2" xfId="2513"/>
    <cellStyle name="Input 4" xfId="1419"/>
    <cellStyle name="Invoer 2" xfId="176"/>
    <cellStyle name="Invoer 2 2" xfId="177"/>
    <cellStyle name="Invoer 2 2 2" xfId="552"/>
    <cellStyle name="Invoer 2 2 2 2" xfId="2516"/>
    <cellStyle name="Invoer 2 2 3" xfId="1687"/>
    <cellStyle name="Invoer 2 3" xfId="566"/>
    <cellStyle name="Invoer 2 3 2" xfId="2524"/>
    <cellStyle name="Invoer 2 4" xfId="1603"/>
    <cellStyle name="Invoer 3" xfId="178"/>
    <cellStyle name="Invoer 3 2" xfId="269"/>
    <cellStyle name="Invoer 3 2 2" xfId="546"/>
    <cellStyle name="Invoer 3 2 2 2" xfId="2510"/>
    <cellStyle name="Invoer 3 2 3" xfId="1452"/>
    <cellStyle name="Invoer 3 3" xfId="554"/>
    <cellStyle name="Invoer 3 3 2" xfId="2517"/>
    <cellStyle name="Invoer 3 4" xfId="1471"/>
    <cellStyle name="Invoer 4" xfId="179"/>
    <cellStyle name="Invoer 4 2" xfId="570"/>
    <cellStyle name="Invoer 4 2 2" xfId="2528"/>
    <cellStyle name="Invoer 4 3" xfId="1602"/>
    <cellStyle name="Kop 1 2" xfId="180"/>
    <cellStyle name="Kop 1 2 2" xfId="181"/>
    <cellStyle name="Kop 1 3" xfId="182"/>
    <cellStyle name="Kop 1 3 2" xfId="270"/>
    <cellStyle name="Kop 1 4" xfId="183"/>
    <cellStyle name="Kop 2 2" xfId="184"/>
    <cellStyle name="Kop 2 2 2" xfId="185"/>
    <cellStyle name="Kop 2 3" xfId="186"/>
    <cellStyle name="Kop 2 3 2" xfId="271"/>
    <cellStyle name="Kop 2 4" xfId="187"/>
    <cellStyle name="Kop 3 2" xfId="188"/>
    <cellStyle name="Kop 3 2 2" xfId="189"/>
    <cellStyle name="Kop 3 3" xfId="190"/>
    <cellStyle name="Kop 3 3 2" xfId="272"/>
    <cellStyle name="Kop 3 4" xfId="191"/>
    <cellStyle name="Kop 4 2" xfId="192"/>
    <cellStyle name="Kop 4 2 2" xfId="193"/>
    <cellStyle name="Kop 4 3" xfId="194"/>
    <cellStyle name="Kop 4 3 2" xfId="273"/>
    <cellStyle name="Kop 4 4" xfId="195"/>
    <cellStyle name="Linked Cell" xfId="113"/>
    <cellStyle name="Linked Cell 2" xfId="196"/>
    <cellStyle name="Neutraal 2" xfId="197"/>
    <cellStyle name="Neutraal 2 2" xfId="198"/>
    <cellStyle name="Neutraal 3" xfId="199"/>
    <cellStyle name="Neutraal 3 2" xfId="274"/>
    <cellStyle name="Neutraal 4" xfId="200"/>
    <cellStyle name="Neutral" xfId="114"/>
    <cellStyle name="Neutral 2" xfId="201"/>
    <cellStyle name="Note" xfId="115"/>
    <cellStyle name="Note 2" xfId="202"/>
    <cellStyle name="Note 2 2" xfId="567"/>
    <cellStyle name="Note 2 2 2" xfId="2525"/>
    <cellStyle name="Note 2 3" xfId="452"/>
    <cellStyle name="Note 2 3 2" xfId="2500"/>
    <cellStyle name="Note 2 4" xfId="1464"/>
    <cellStyle name="Note 3" xfId="544"/>
    <cellStyle name="Note 3 2" xfId="2508"/>
    <cellStyle name="Note 4" xfId="446"/>
    <cellStyle name="Note 4 2" xfId="2499"/>
    <cellStyle name="Note 5" xfId="1424"/>
    <cellStyle name="Notitie 2" xfId="203"/>
    <cellStyle name="Notitie 2 2" xfId="275"/>
    <cellStyle name="Notitie 2 2 2" xfId="557"/>
    <cellStyle name="Notitie 2 2 2 2" xfId="2519"/>
    <cellStyle name="Notitie 2 2 3" xfId="457"/>
    <cellStyle name="Notitie 2 2 3 2" xfId="2504"/>
    <cellStyle name="Notitie 2 2 4" xfId="1689"/>
    <cellStyle name="Notitie 2 3" xfId="555"/>
    <cellStyle name="Notitie 2 3 2" xfId="2518"/>
    <cellStyle name="Notitie 2 4" xfId="453"/>
    <cellStyle name="Notitie 2 4 2" xfId="2501"/>
    <cellStyle name="Notitie 2 5" xfId="1463"/>
    <cellStyle name="Notitie 3" xfId="204"/>
    <cellStyle name="Notitie 3 2" xfId="568"/>
    <cellStyle name="Notitie 3 2 2" xfId="2526"/>
    <cellStyle name="Notitie 3 3" xfId="454"/>
    <cellStyle name="Notitie 3 3 2" xfId="2502"/>
    <cellStyle name="Notitie 3 4" xfId="1462"/>
    <cellStyle name="Notitie 4" xfId="260"/>
    <cellStyle name="Notitie 4 2" xfId="276"/>
    <cellStyle name="Notitie 4 2 2" xfId="561"/>
    <cellStyle name="Notitie 4 2 2 2" xfId="2522"/>
    <cellStyle name="Notitie 4 2 3" xfId="458"/>
    <cellStyle name="Notitie 4 2 3 2" xfId="2505"/>
    <cellStyle name="Notitie 4 2 4" xfId="1451"/>
    <cellStyle name="Notitie 4 3" xfId="288"/>
    <cellStyle name="Notitie 4 3 2" xfId="543"/>
    <cellStyle name="Notitie 4 3 2 2" xfId="2507"/>
    <cellStyle name="Notitie 4 3 3" xfId="459"/>
    <cellStyle name="Notitie 4 3 3 2" xfId="2506"/>
    <cellStyle name="Notitie 4 3 4" xfId="1466"/>
    <cellStyle name="Notitie 4 4" xfId="547"/>
    <cellStyle name="Notitie 4 4 2" xfId="2511"/>
    <cellStyle name="Notitie 4 5" xfId="456"/>
    <cellStyle name="Notitie 4 5 2" xfId="2503"/>
    <cellStyle name="Notitie 4 6" xfId="1453"/>
    <cellStyle name="Ongeldig 2" xfId="205"/>
    <cellStyle name="Ongeldig 2 2" xfId="206"/>
    <cellStyle name="Ongeldig 3" xfId="207"/>
    <cellStyle name="Ongeldig 3 2" xfId="277"/>
    <cellStyle name="Ongeldig 4" xfId="208"/>
    <cellStyle name="Output" xfId="116"/>
    <cellStyle name="Output 2" xfId="209"/>
    <cellStyle name="Output 2 2" xfId="428"/>
    <cellStyle name="Output 2 2 2" xfId="2497"/>
    <cellStyle name="Output 2 3" xfId="1461"/>
    <cellStyle name="Output 3" xfId="548"/>
    <cellStyle name="Output 3 2" xfId="2512"/>
    <cellStyle name="Output 4" xfId="1418"/>
    <cellStyle name="Standaard" xfId="0" builtinId="0"/>
    <cellStyle name="Standaard 10" xfId="1"/>
    <cellStyle name="Standaard 10 2" xfId="2"/>
    <cellStyle name="Standaard 10 2 10" xfId="602"/>
    <cellStyle name="Standaard 10 2 10 2" xfId="1121"/>
    <cellStyle name="Standaard 10 2 10 2 2" xfId="2227"/>
    <cellStyle name="Standaard 10 2 10 2 2 2" xfId="4369"/>
    <cellStyle name="Standaard 10 2 10 2 3" xfId="3318"/>
    <cellStyle name="Standaard 10 2 10 2 4" xfId="5415"/>
    <cellStyle name="Standaard 10 2 10 3" xfId="1710"/>
    <cellStyle name="Standaard 10 2 10 3 2" xfId="3852"/>
    <cellStyle name="Standaard 10 2 10 4" xfId="2801"/>
    <cellStyle name="Standaard 10 2 10 5" xfId="4898"/>
    <cellStyle name="Standaard 10 2 11" xfId="861"/>
    <cellStyle name="Standaard 10 2 11 2" xfId="1969"/>
    <cellStyle name="Standaard 10 2 11 2 2" xfId="4111"/>
    <cellStyle name="Standaard 10 2 11 3" xfId="3060"/>
    <cellStyle name="Standaard 10 2 11 4" xfId="5157"/>
    <cellStyle name="Standaard 10 2 12" xfId="1389"/>
    <cellStyle name="Standaard 10 2 12 2" xfId="2486"/>
    <cellStyle name="Standaard 10 2 12 2 2" xfId="4628"/>
    <cellStyle name="Standaard 10 2 12 3" xfId="3577"/>
    <cellStyle name="Standaard 10 2 12 4" xfId="5674"/>
    <cellStyle name="Standaard 10 2 13" xfId="1415"/>
    <cellStyle name="Standaard 10 2 13 2" xfId="3593"/>
    <cellStyle name="Standaard 10 2 14" xfId="2542"/>
    <cellStyle name="Standaard 10 2 15" xfId="4640"/>
    <cellStyle name="Standaard 10 2 2" xfId="36"/>
    <cellStyle name="Standaard 10 2 2 10" xfId="1422"/>
    <cellStyle name="Standaard 10 2 2 10 2" xfId="3597"/>
    <cellStyle name="Standaard 10 2 2 11" xfId="2546"/>
    <cellStyle name="Standaard 10 2 2 12" xfId="4644"/>
    <cellStyle name="Standaard 10 2 2 2" xfId="69"/>
    <cellStyle name="Standaard 10 2 2 2 2" xfId="314"/>
    <cellStyle name="Standaard 10 2 2 2 2 2" xfId="385"/>
    <cellStyle name="Standaard 10 2 2 2 2 2 2" xfId="536"/>
    <cellStyle name="Standaard 10 2 2 2 2 2 2 2" xfId="835"/>
    <cellStyle name="Standaard 10 2 2 2 2 2 2 2 2" xfId="1354"/>
    <cellStyle name="Standaard 10 2 2 2 2 2 2 2 2 2" xfId="2460"/>
    <cellStyle name="Standaard 10 2 2 2 2 2 2 2 2 2 2" xfId="4602"/>
    <cellStyle name="Standaard 10 2 2 2 2 2 2 2 2 3" xfId="3551"/>
    <cellStyle name="Standaard 10 2 2 2 2 2 2 2 2 4" xfId="5648"/>
    <cellStyle name="Standaard 10 2 2 2 2 2 2 2 3" xfId="1943"/>
    <cellStyle name="Standaard 10 2 2 2 2 2 2 2 3 2" xfId="4085"/>
    <cellStyle name="Standaard 10 2 2 2 2 2 2 2 4" xfId="3034"/>
    <cellStyle name="Standaard 10 2 2 2 2 2 2 2 5" xfId="5131"/>
    <cellStyle name="Standaard 10 2 2 2 2 2 2 3" xfId="1095"/>
    <cellStyle name="Standaard 10 2 2 2 2 2 2 3 2" xfId="2201"/>
    <cellStyle name="Standaard 10 2 2 2 2 2 2 3 2 2" xfId="4343"/>
    <cellStyle name="Standaard 10 2 2 2 2 2 2 3 3" xfId="3292"/>
    <cellStyle name="Standaard 10 2 2 2 2 2 2 3 4" xfId="5389"/>
    <cellStyle name="Standaard 10 2 2 2 2 2 2 4" xfId="1680"/>
    <cellStyle name="Standaard 10 2 2 2 2 2 2 4 2" xfId="3826"/>
    <cellStyle name="Standaard 10 2 2 2 2 2 2 5" xfId="2775"/>
    <cellStyle name="Standaard 10 2 2 2 2 2 2 6" xfId="4872"/>
    <cellStyle name="Standaard 10 2 2 2 2 2 3" xfId="709"/>
    <cellStyle name="Standaard 10 2 2 2 2 2 3 2" xfId="1228"/>
    <cellStyle name="Standaard 10 2 2 2 2 2 3 2 2" xfId="2334"/>
    <cellStyle name="Standaard 10 2 2 2 2 2 3 2 2 2" xfId="4476"/>
    <cellStyle name="Standaard 10 2 2 2 2 2 3 2 3" xfId="3425"/>
    <cellStyle name="Standaard 10 2 2 2 2 2 3 2 4" xfId="5522"/>
    <cellStyle name="Standaard 10 2 2 2 2 2 3 3" xfId="1817"/>
    <cellStyle name="Standaard 10 2 2 2 2 2 3 3 2" xfId="3959"/>
    <cellStyle name="Standaard 10 2 2 2 2 2 3 4" xfId="2908"/>
    <cellStyle name="Standaard 10 2 2 2 2 2 3 5" xfId="5005"/>
    <cellStyle name="Standaard 10 2 2 2 2 2 4" xfId="969"/>
    <cellStyle name="Standaard 10 2 2 2 2 2 4 2" xfId="2075"/>
    <cellStyle name="Standaard 10 2 2 2 2 2 4 2 2" xfId="4217"/>
    <cellStyle name="Standaard 10 2 2 2 2 2 4 3" xfId="3166"/>
    <cellStyle name="Standaard 10 2 2 2 2 2 4 4" xfId="5263"/>
    <cellStyle name="Standaard 10 2 2 2 2 2 5" xfId="1551"/>
    <cellStyle name="Standaard 10 2 2 2 2 2 5 2" xfId="3700"/>
    <cellStyle name="Standaard 10 2 2 2 2 2 6" xfId="2649"/>
    <cellStyle name="Standaard 10 2 2 2 2 2 7" xfId="4746"/>
    <cellStyle name="Standaard 10 2 2 2 2 3" xfId="475"/>
    <cellStyle name="Standaard 10 2 2 2 2 3 2" xfId="774"/>
    <cellStyle name="Standaard 10 2 2 2 2 3 2 2" xfId="1293"/>
    <cellStyle name="Standaard 10 2 2 2 2 3 2 2 2" xfId="2399"/>
    <cellStyle name="Standaard 10 2 2 2 2 3 2 2 2 2" xfId="4541"/>
    <cellStyle name="Standaard 10 2 2 2 2 3 2 2 3" xfId="3490"/>
    <cellStyle name="Standaard 10 2 2 2 2 3 2 2 4" xfId="5587"/>
    <cellStyle name="Standaard 10 2 2 2 2 3 2 3" xfId="1882"/>
    <cellStyle name="Standaard 10 2 2 2 2 3 2 3 2" xfId="4024"/>
    <cellStyle name="Standaard 10 2 2 2 2 3 2 4" xfId="2973"/>
    <cellStyle name="Standaard 10 2 2 2 2 3 2 5" xfId="5070"/>
    <cellStyle name="Standaard 10 2 2 2 2 3 3" xfId="1034"/>
    <cellStyle name="Standaard 10 2 2 2 2 3 3 2" xfId="2140"/>
    <cellStyle name="Standaard 10 2 2 2 2 3 3 2 2" xfId="4282"/>
    <cellStyle name="Standaard 10 2 2 2 2 3 3 3" xfId="3231"/>
    <cellStyle name="Standaard 10 2 2 2 2 3 3 4" xfId="5328"/>
    <cellStyle name="Standaard 10 2 2 2 2 3 4" xfId="1619"/>
    <cellStyle name="Standaard 10 2 2 2 2 3 4 2" xfId="3765"/>
    <cellStyle name="Standaard 10 2 2 2 2 3 5" xfId="2714"/>
    <cellStyle name="Standaard 10 2 2 2 2 3 6" xfId="4811"/>
    <cellStyle name="Standaard 10 2 2 2 2 4" xfId="648"/>
    <cellStyle name="Standaard 10 2 2 2 2 4 2" xfId="1167"/>
    <cellStyle name="Standaard 10 2 2 2 2 4 2 2" xfId="2273"/>
    <cellStyle name="Standaard 10 2 2 2 2 4 2 2 2" xfId="4415"/>
    <cellStyle name="Standaard 10 2 2 2 2 4 2 3" xfId="3364"/>
    <cellStyle name="Standaard 10 2 2 2 2 4 2 4" xfId="5461"/>
    <cellStyle name="Standaard 10 2 2 2 2 4 3" xfId="1756"/>
    <cellStyle name="Standaard 10 2 2 2 2 4 3 2" xfId="3898"/>
    <cellStyle name="Standaard 10 2 2 2 2 4 4" xfId="2847"/>
    <cellStyle name="Standaard 10 2 2 2 2 4 5" xfId="4944"/>
    <cellStyle name="Standaard 10 2 2 2 2 5" xfId="908"/>
    <cellStyle name="Standaard 10 2 2 2 2 5 2" xfId="2014"/>
    <cellStyle name="Standaard 10 2 2 2 2 5 2 2" xfId="4156"/>
    <cellStyle name="Standaard 10 2 2 2 2 5 3" xfId="3105"/>
    <cellStyle name="Standaard 10 2 2 2 2 5 4" xfId="5202"/>
    <cellStyle name="Standaard 10 2 2 2 2 6" xfId="1487"/>
    <cellStyle name="Standaard 10 2 2 2 2 6 2" xfId="3639"/>
    <cellStyle name="Standaard 10 2 2 2 2 7" xfId="2588"/>
    <cellStyle name="Standaard 10 2 2 2 2 8" xfId="4685"/>
    <cellStyle name="Standaard 10 2 2 2 3" xfId="353"/>
    <cellStyle name="Standaard 10 2 2 2 3 2" xfId="507"/>
    <cellStyle name="Standaard 10 2 2 2 3 2 2" xfId="806"/>
    <cellStyle name="Standaard 10 2 2 2 3 2 2 2" xfId="1325"/>
    <cellStyle name="Standaard 10 2 2 2 3 2 2 2 2" xfId="2431"/>
    <cellStyle name="Standaard 10 2 2 2 3 2 2 2 2 2" xfId="4573"/>
    <cellStyle name="Standaard 10 2 2 2 3 2 2 2 3" xfId="3522"/>
    <cellStyle name="Standaard 10 2 2 2 3 2 2 2 4" xfId="5619"/>
    <cellStyle name="Standaard 10 2 2 2 3 2 2 3" xfId="1914"/>
    <cellStyle name="Standaard 10 2 2 2 3 2 2 3 2" xfId="4056"/>
    <cellStyle name="Standaard 10 2 2 2 3 2 2 4" xfId="3005"/>
    <cellStyle name="Standaard 10 2 2 2 3 2 2 5" xfId="5102"/>
    <cellStyle name="Standaard 10 2 2 2 3 2 3" xfId="1066"/>
    <cellStyle name="Standaard 10 2 2 2 3 2 3 2" xfId="2172"/>
    <cellStyle name="Standaard 10 2 2 2 3 2 3 2 2" xfId="4314"/>
    <cellStyle name="Standaard 10 2 2 2 3 2 3 3" xfId="3263"/>
    <cellStyle name="Standaard 10 2 2 2 3 2 3 4" xfId="5360"/>
    <cellStyle name="Standaard 10 2 2 2 3 2 4" xfId="1651"/>
    <cellStyle name="Standaard 10 2 2 2 3 2 4 2" xfId="3797"/>
    <cellStyle name="Standaard 10 2 2 2 3 2 5" xfId="2746"/>
    <cellStyle name="Standaard 10 2 2 2 3 2 6" xfId="4843"/>
    <cellStyle name="Standaard 10 2 2 2 3 3" xfId="680"/>
    <cellStyle name="Standaard 10 2 2 2 3 3 2" xfId="1199"/>
    <cellStyle name="Standaard 10 2 2 2 3 3 2 2" xfId="2305"/>
    <cellStyle name="Standaard 10 2 2 2 3 3 2 2 2" xfId="4447"/>
    <cellStyle name="Standaard 10 2 2 2 3 3 2 3" xfId="3396"/>
    <cellStyle name="Standaard 10 2 2 2 3 3 2 4" xfId="5493"/>
    <cellStyle name="Standaard 10 2 2 2 3 3 3" xfId="1788"/>
    <cellStyle name="Standaard 10 2 2 2 3 3 3 2" xfId="3930"/>
    <cellStyle name="Standaard 10 2 2 2 3 3 4" xfId="2879"/>
    <cellStyle name="Standaard 10 2 2 2 3 3 5" xfId="4976"/>
    <cellStyle name="Standaard 10 2 2 2 3 4" xfId="940"/>
    <cellStyle name="Standaard 10 2 2 2 3 4 2" xfId="2046"/>
    <cellStyle name="Standaard 10 2 2 2 3 4 2 2" xfId="4188"/>
    <cellStyle name="Standaard 10 2 2 2 3 4 3" xfId="3137"/>
    <cellStyle name="Standaard 10 2 2 2 3 4 4" xfId="5234"/>
    <cellStyle name="Standaard 10 2 2 2 3 5" xfId="1521"/>
    <cellStyle name="Standaard 10 2 2 2 3 5 2" xfId="3671"/>
    <cellStyle name="Standaard 10 2 2 2 3 6" xfId="2620"/>
    <cellStyle name="Standaard 10 2 2 2 3 7" xfId="4717"/>
    <cellStyle name="Standaard 10 2 2 2 4" xfId="438"/>
    <cellStyle name="Standaard 10 2 2 2 4 2" xfId="745"/>
    <cellStyle name="Standaard 10 2 2 2 4 2 2" xfId="1264"/>
    <cellStyle name="Standaard 10 2 2 2 4 2 2 2" xfId="2370"/>
    <cellStyle name="Standaard 10 2 2 2 4 2 2 2 2" xfId="4512"/>
    <cellStyle name="Standaard 10 2 2 2 4 2 2 3" xfId="3461"/>
    <cellStyle name="Standaard 10 2 2 2 4 2 2 4" xfId="5558"/>
    <cellStyle name="Standaard 10 2 2 2 4 2 3" xfId="1853"/>
    <cellStyle name="Standaard 10 2 2 2 4 2 3 2" xfId="3995"/>
    <cellStyle name="Standaard 10 2 2 2 4 2 4" xfId="2944"/>
    <cellStyle name="Standaard 10 2 2 2 4 2 5" xfId="5041"/>
    <cellStyle name="Standaard 10 2 2 2 4 3" xfId="1005"/>
    <cellStyle name="Standaard 10 2 2 2 4 3 2" xfId="2111"/>
    <cellStyle name="Standaard 10 2 2 2 4 3 2 2" xfId="4253"/>
    <cellStyle name="Standaard 10 2 2 2 4 3 3" xfId="3202"/>
    <cellStyle name="Standaard 10 2 2 2 4 3 4" xfId="5299"/>
    <cellStyle name="Standaard 10 2 2 2 4 4" xfId="1588"/>
    <cellStyle name="Standaard 10 2 2 2 4 4 2" xfId="3736"/>
    <cellStyle name="Standaard 10 2 2 2 4 5" xfId="2685"/>
    <cellStyle name="Standaard 10 2 2 2 4 6" xfId="4782"/>
    <cellStyle name="Standaard 10 2 2 2 5" xfId="619"/>
    <cellStyle name="Standaard 10 2 2 2 5 2" xfId="1138"/>
    <cellStyle name="Standaard 10 2 2 2 5 2 2" xfId="2244"/>
    <cellStyle name="Standaard 10 2 2 2 5 2 2 2" xfId="4386"/>
    <cellStyle name="Standaard 10 2 2 2 5 2 3" xfId="3335"/>
    <cellStyle name="Standaard 10 2 2 2 5 2 4" xfId="5432"/>
    <cellStyle name="Standaard 10 2 2 2 5 3" xfId="1727"/>
    <cellStyle name="Standaard 10 2 2 2 5 3 2" xfId="3869"/>
    <cellStyle name="Standaard 10 2 2 2 5 4" xfId="2818"/>
    <cellStyle name="Standaard 10 2 2 2 5 5" xfId="4915"/>
    <cellStyle name="Standaard 10 2 2 2 6" xfId="879"/>
    <cellStyle name="Standaard 10 2 2 2 6 2" xfId="1985"/>
    <cellStyle name="Standaard 10 2 2 2 6 2 2" xfId="4127"/>
    <cellStyle name="Standaard 10 2 2 2 6 3" xfId="3076"/>
    <cellStyle name="Standaard 10 2 2 2 6 4" xfId="5173"/>
    <cellStyle name="Standaard 10 2 2 2 7" xfId="1437"/>
    <cellStyle name="Standaard 10 2 2 2 7 2" xfId="3610"/>
    <cellStyle name="Standaard 10 2 2 2 8" xfId="2559"/>
    <cellStyle name="Standaard 10 2 2 2 9" xfId="4656"/>
    <cellStyle name="Standaard 10 2 2 3" xfId="301"/>
    <cellStyle name="Standaard 10 2 2 3 2" xfId="374"/>
    <cellStyle name="Standaard 10 2 2 3 2 2" xfId="525"/>
    <cellStyle name="Standaard 10 2 2 3 2 2 2" xfId="824"/>
    <cellStyle name="Standaard 10 2 2 3 2 2 2 2" xfId="1343"/>
    <cellStyle name="Standaard 10 2 2 3 2 2 2 2 2" xfId="2449"/>
    <cellStyle name="Standaard 10 2 2 3 2 2 2 2 2 2" xfId="4591"/>
    <cellStyle name="Standaard 10 2 2 3 2 2 2 2 3" xfId="3540"/>
    <cellStyle name="Standaard 10 2 2 3 2 2 2 2 4" xfId="5637"/>
    <cellStyle name="Standaard 10 2 2 3 2 2 2 3" xfId="1932"/>
    <cellStyle name="Standaard 10 2 2 3 2 2 2 3 2" xfId="4074"/>
    <cellStyle name="Standaard 10 2 2 3 2 2 2 4" xfId="3023"/>
    <cellStyle name="Standaard 10 2 2 3 2 2 2 5" xfId="5120"/>
    <cellStyle name="Standaard 10 2 2 3 2 2 3" xfId="1084"/>
    <cellStyle name="Standaard 10 2 2 3 2 2 3 2" xfId="2190"/>
    <cellStyle name="Standaard 10 2 2 3 2 2 3 2 2" xfId="4332"/>
    <cellStyle name="Standaard 10 2 2 3 2 2 3 3" xfId="3281"/>
    <cellStyle name="Standaard 10 2 2 3 2 2 3 4" xfId="5378"/>
    <cellStyle name="Standaard 10 2 2 3 2 2 4" xfId="1669"/>
    <cellStyle name="Standaard 10 2 2 3 2 2 4 2" xfId="3815"/>
    <cellStyle name="Standaard 10 2 2 3 2 2 5" xfId="2764"/>
    <cellStyle name="Standaard 10 2 2 3 2 2 6" xfId="4861"/>
    <cellStyle name="Standaard 10 2 2 3 2 3" xfId="698"/>
    <cellStyle name="Standaard 10 2 2 3 2 3 2" xfId="1217"/>
    <cellStyle name="Standaard 10 2 2 3 2 3 2 2" xfId="2323"/>
    <cellStyle name="Standaard 10 2 2 3 2 3 2 2 2" xfId="4465"/>
    <cellStyle name="Standaard 10 2 2 3 2 3 2 3" xfId="3414"/>
    <cellStyle name="Standaard 10 2 2 3 2 3 2 4" xfId="5511"/>
    <cellStyle name="Standaard 10 2 2 3 2 3 3" xfId="1806"/>
    <cellStyle name="Standaard 10 2 2 3 2 3 3 2" xfId="3948"/>
    <cellStyle name="Standaard 10 2 2 3 2 3 4" xfId="2897"/>
    <cellStyle name="Standaard 10 2 2 3 2 3 5" xfId="4994"/>
    <cellStyle name="Standaard 10 2 2 3 2 4" xfId="958"/>
    <cellStyle name="Standaard 10 2 2 3 2 4 2" xfId="2064"/>
    <cellStyle name="Standaard 10 2 2 3 2 4 2 2" xfId="4206"/>
    <cellStyle name="Standaard 10 2 2 3 2 4 3" xfId="3155"/>
    <cellStyle name="Standaard 10 2 2 3 2 4 4" xfId="5252"/>
    <cellStyle name="Standaard 10 2 2 3 2 5" xfId="1540"/>
    <cellStyle name="Standaard 10 2 2 3 2 5 2" xfId="3689"/>
    <cellStyle name="Standaard 10 2 2 3 2 6" xfId="2638"/>
    <cellStyle name="Standaard 10 2 2 3 2 7" xfId="4735"/>
    <cellStyle name="Standaard 10 2 2 3 3" xfId="464"/>
    <cellStyle name="Standaard 10 2 2 3 3 2" xfId="763"/>
    <cellStyle name="Standaard 10 2 2 3 3 2 2" xfId="1282"/>
    <cellStyle name="Standaard 10 2 2 3 3 2 2 2" xfId="2388"/>
    <cellStyle name="Standaard 10 2 2 3 3 2 2 2 2" xfId="4530"/>
    <cellStyle name="Standaard 10 2 2 3 3 2 2 3" xfId="3479"/>
    <cellStyle name="Standaard 10 2 2 3 3 2 2 4" xfId="5576"/>
    <cellStyle name="Standaard 10 2 2 3 3 2 3" xfId="1871"/>
    <cellStyle name="Standaard 10 2 2 3 3 2 3 2" xfId="4013"/>
    <cellStyle name="Standaard 10 2 2 3 3 2 4" xfId="2962"/>
    <cellStyle name="Standaard 10 2 2 3 3 2 5" xfId="5059"/>
    <cellStyle name="Standaard 10 2 2 3 3 3" xfId="1023"/>
    <cellStyle name="Standaard 10 2 2 3 3 3 2" xfId="2129"/>
    <cellStyle name="Standaard 10 2 2 3 3 3 2 2" xfId="4271"/>
    <cellStyle name="Standaard 10 2 2 3 3 3 3" xfId="3220"/>
    <cellStyle name="Standaard 10 2 2 3 3 3 4" xfId="5317"/>
    <cellStyle name="Standaard 10 2 2 3 3 4" xfId="1608"/>
    <cellStyle name="Standaard 10 2 2 3 3 4 2" xfId="3754"/>
    <cellStyle name="Standaard 10 2 2 3 3 5" xfId="2703"/>
    <cellStyle name="Standaard 10 2 2 3 3 6" xfId="4800"/>
    <cellStyle name="Standaard 10 2 2 3 4" xfId="637"/>
    <cellStyle name="Standaard 10 2 2 3 4 2" xfId="1156"/>
    <cellStyle name="Standaard 10 2 2 3 4 2 2" xfId="2262"/>
    <cellStyle name="Standaard 10 2 2 3 4 2 2 2" xfId="4404"/>
    <cellStyle name="Standaard 10 2 2 3 4 2 3" xfId="3353"/>
    <cellStyle name="Standaard 10 2 2 3 4 2 4" xfId="5450"/>
    <cellStyle name="Standaard 10 2 2 3 4 3" xfId="1745"/>
    <cellStyle name="Standaard 10 2 2 3 4 3 2" xfId="3887"/>
    <cellStyle name="Standaard 10 2 2 3 4 4" xfId="2836"/>
    <cellStyle name="Standaard 10 2 2 3 4 5" xfId="4933"/>
    <cellStyle name="Standaard 10 2 2 3 5" xfId="897"/>
    <cellStyle name="Standaard 10 2 2 3 5 2" xfId="2003"/>
    <cellStyle name="Standaard 10 2 2 3 5 2 2" xfId="4145"/>
    <cellStyle name="Standaard 10 2 2 3 5 3" xfId="3094"/>
    <cellStyle name="Standaard 10 2 2 3 5 4" xfId="5191"/>
    <cellStyle name="Standaard 10 2 2 3 6" xfId="1476"/>
    <cellStyle name="Standaard 10 2 2 3 6 2" xfId="3628"/>
    <cellStyle name="Standaard 10 2 2 3 7" xfId="2577"/>
    <cellStyle name="Standaard 10 2 2 3 8" xfId="4674"/>
    <cellStyle name="Standaard 10 2 2 4" xfId="338"/>
    <cellStyle name="Standaard 10 2 2 4 2" xfId="493"/>
    <cellStyle name="Standaard 10 2 2 4 2 2" xfId="792"/>
    <cellStyle name="Standaard 10 2 2 4 2 2 2" xfId="1311"/>
    <cellStyle name="Standaard 10 2 2 4 2 2 2 2" xfId="2417"/>
    <cellStyle name="Standaard 10 2 2 4 2 2 2 2 2" xfId="4559"/>
    <cellStyle name="Standaard 10 2 2 4 2 2 2 3" xfId="3508"/>
    <cellStyle name="Standaard 10 2 2 4 2 2 2 4" xfId="5605"/>
    <cellStyle name="Standaard 10 2 2 4 2 2 3" xfId="1900"/>
    <cellStyle name="Standaard 10 2 2 4 2 2 3 2" xfId="4042"/>
    <cellStyle name="Standaard 10 2 2 4 2 2 4" xfId="2991"/>
    <cellStyle name="Standaard 10 2 2 4 2 2 5" xfId="5088"/>
    <cellStyle name="Standaard 10 2 2 4 2 3" xfId="1052"/>
    <cellStyle name="Standaard 10 2 2 4 2 3 2" xfId="2158"/>
    <cellStyle name="Standaard 10 2 2 4 2 3 2 2" xfId="4300"/>
    <cellStyle name="Standaard 10 2 2 4 2 3 3" xfId="3249"/>
    <cellStyle name="Standaard 10 2 2 4 2 3 4" xfId="5346"/>
    <cellStyle name="Standaard 10 2 2 4 2 4" xfId="1637"/>
    <cellStyle name="Standaard 10 2 2 4 2 4 2" xfId="3783"/>
    <cellStyle name="Standaard 10 2 2 4 2 5" xfId="2732"/>
    <cellStyle name="Standaard 10 2 2 4 2 6" xfId="4829"/>
    <cellStyle name="Standaard 10 2 2 4 3" xfId="666"/>
    <cellStyle name="Standaard 10 2 2 4 3 2" xfId="1185"/>
    <cellStyle name="Standaard 10 2 2 4 3 2 2" xfId="2291"/>
    <cellStyle name="Standaard 10 2 2 4 3 2 2 2" xfId="4433"/>
    <cellStyle name="Standaard 10 2 2 4 3 2 3" xfId="3382"/>
    <cellStyle name="Standaard 10 2 2 4 3 2 4" xfId="5479"/>
    <cellStyle name="Standaard 10 2 2 4 3 3" xfId="1774"/>
    <cellStyle name="Standaard 10 2 2 4 3 3 2" xfId="3916"/>
    <cellStyle name="Standaard 10 2 2 4 3 4" xfId="2865"/>
    <cellStyle name="Standaard 10 2 2 4 3 5" xfId="4962"/>
    <cellStyle name="Standaard 10 2 2 4 4" xfId="926"/>
    <cellStyle name="Standaard 10 2 2 4 4 2" xfId="2032"/>
    <cellStyle name="Standaard 10 2 2 4 4 2 2" xfId="4174"/>
    <cellStyle name="Standaard 10 2 2 4 4 3" xfId="3123"/>
    <cellStyle name="Standaard 10 2 2 4 4 4" xfId="5220"/>
    <cellStyle name="Standaard 10 2 2 4 5" xfId="1507"/>
    <cellStyle name="Standaard 10 2 2 4 5 2" xfId="3657"/>
    <cellStyle name="Standaard 10 2 2 4 6" xfId="2606"/>
    <cellStyle name="Standaard 10 2 2 4 7" xfId="4703"/>
    <cellStyle name="Standaard 10 2 2 5" xfId="408"/>
    <cellStyle name="Standaard 10 2 2 5 2" xfId="721"/>
    <cellStyle name="Standaard 10 2 2 5 2 2" xfId="1240"/>
    <cellStyle name="Standaard 10 2 2 5 2 2 2" xfId="2346"/>
    <cellStyle name="Standaard 10 2 2 5 2 2 2 2" xfId="4488"/>
    <cellStyle name="Standaard 10 2 2 5 2 2 3" xfId="3437"/>
    <cellStyle name="Standaard 10 2 2 5 2 2 4" xfId="5534"/>
    <cellStyle name="Standaard 10 2 2 5 2 3" xfId="1829"/>
    <cellStyle name="Standaard 10 2 2 5 2 3 2" xfId="3971"/>
    <cellStyle name="Standaard 10 2 2 5 2 4" xfId="2920"/>
    <cellStyle name="Standaard 10 2 2 5 2 5" xfId="5017"/>
    <cellStyle name="Standaard 10 2 2 5 3" xfId="981"/>
    <cellStyle name="Standaard 10 2 2 5 3 2" xfId="2087"/>
    <cellStyle name="Standaard 10 2 2 5 3 2 2" xfId="4229"/>
    <cellStyle name="Standaard 10 2 2 5 3 3" xfId="3178"/>
    <cellStyle name="Standaard 10 2 2 5 3 4" xfId="5275"/>
    <cellStyle name="Standaard 10 2 2 5 4" xfId="1564"/>
    <cellStyle name="Standaard 10 2 2 5 4 2" xfId="3712"/>
    <cellStyle name="Standaard 10 2 2 5 5" xfId="2661"/>
    <cellStyle name="Standaard 10 2 2 5 6" xfId="4758"/>
    <cellStyle name="Standaard 10 2 2 6" xfId="420"/>
    <cellStyle name="Standaard 10 2 2 6 2" xfId="733"/>
    <cellStyle name="Standaard 10 2 2 6 2 2" xfId="1252"/>
    <cellStyle name="Standaard 10 2 2 6 2 2 2" xfId="2358"/>
    <cellStyle name="Standaard 10 2 2 6 2 2 2 2" xfId="4500"/>
    <cellStyle name="Standaard 10 2 2 6 2 2 3" xfId="3449"/>
    <cellStyle name="Standaard 10 2 2 6 2 2 4" xfId="5546"/>
    <cellStyle name="Standaard 10 2 2 6 2 3" xfId="1841"/>
    <cellStyle name="Standaard 10 2 2 6 2 3 2" xfId="3983"/>
    <cellStyle name="Standaard 10 2 2 6 2 4" xfId="2932"/>
    <cellStyle name="Standaard 10 2 2 6 2 5" xfId="5029"/>
    <cellStyle name="Standaard 10 2 2 6 3" xfId="993"/>
    <cellStyle name="Standaard 10 2 2 6 3 2" xfId="2099"/>
    <cellStyle name="Standaard 10 2 2 6 3 2 2" xfId="4241"/>
    <cellStyle name="Standaard 10 2 2 6 3 3" xfId="3190"/>
    <cellStyle name="Standaard 10 2 2 6 3 4" xfId="5287"/>
    <cellStyle name="Standaard 10 2 2 6 4" xfId="1576"/>
    <cellStyle name="Standaard 10 2 2 6 4 2" xfId="3724"/>
    <cellStyle name="Standaard 10 2 2 6 5" xfId="2673"/>
    <cellStyle name="Standaard 10 2 2 6 6" xfId="4770"/>
    <cellStyle name="Standaard 10 2 2 7" xfId="605"/>
    <cellStyle name="Standaard 10 2 2 7 2" xfId="1124"/>
    <cellStyle name="Standaard 10 2 2 7 2 2" xfId="2230"/>
    <cellStyle name="Standaard 10 2 2 7 2 2 2" xfId="4372"/>
    <cellStyle name="Standaard 10 2 2 7 2 3" xfId="3321"/>
    <cellStyle name="Standaard 10 2 2 7 2 4" xfId="5418"/>
    <cellStyle name="Standaard 10 2 2 7 3" xfId="1713"/>
    <cellStyle name="Standaard 10 2 2 7 3 2" xfId="3855"/>
    <cellStyle name="Standaard 10 2 2 7 4" xfId="2804"/>
    <cellStyle name="Standaard 10 2 2 7 5" xfId="4901"/>
    <cellStyle name="Standaard 10 2 2 8" xfId="865"/>
    <cellStyle name="Standaard 10 2 2 8 2" xfId="1973"/>
    <cellStyle name="Standaard 10 2 2 8 2 2" xfId="4115"/>
    <cellStyle name="Standaard 10 2 2 8 3" xfId="3064"/>
    <cellStyle name="Standaard 10 2 2 8 4" xfId="5161"/>
    <cellStyle name="Standaard 10 2 2 9" xfId="1396"/>
    <cellStyle name="Standaard 10 2 2 9 2" xfId="2490"/>
    <cellStyle name="Standaard 10 2 2 9 2 2" xfId="4632"/>
    <cellStyle name="Standaard 10 2 2 9 3" xfId="3581"/>
    <cellStyle name="Standaard 10 2 2 9 4" xfId="5678"/>
    <cellStyle name="Standaard 10 2 3" xfId="60"/>
    <cellStyle name="Standaard 10 2 3 10" xfId="1428"/>
    <cellStyle name="Standaard 10 2 3 10 2" xfId="3601"/>
    <cellStyle name="Standaard 10 2 3 11" xfId="2550"/>
    <cellStyle name="Standaard 10 2 3 12" xfId="4648"/>
    <cellStyle name="Standaard 10 2 3 2" xfId="73"/>
    <cellStyle name="Standaard 10 2 3 2 2" xfId="318"/>
    <cellStyle name="Standaard 10 2 3 2 2 2" xfId="389"/>
    <cellStyle name="Standaard 10 2 3 2 2 2 2" xfId="540"/>
    <cellStyle name="Standaard 10 2 3 2 2 2 2 2" xfId="839"/>
    <cellStyle name="Standaard 10 2 3 2 2 2 2 2 2" xfId="1358"/>
    <cellStyle name="Standaard 10 2 3 2 2 2 2 2 2 2" xfId="2464"/>
    <cellStyle name="Standaard 10 2 3 2 2 2 2 2 2 2 2" xfId="4606"/>
    <cellStyle name="Standaard 10 2 3 2 2 2 2 2 2 3" xfId="3555"/>
    <cellStyle name="Standaard 10 2 3 2 2 2 2 2 2 4" xfId="5652"/>
    <cellStyle name="Standaard 10 2 3 2 2 2 2 2 3" xfId="1947"/>
    <cellStyle name="Standaard 10 2 3 2 2 2 2 2 3 2" xfId="4089"/>
    <cellStyle name="Standaard 10 2 3 2 2 2 2 2 4" xfId="3038"/>
    <cellStyle name="Standaard 10 2 3 2 2 2 2 2 5" xfId="5135"/>
    <cellStyle name="Standaard 10 2 3 2 2 2 2 3" xfId="1099"/>
    <cellStyle name="Standaard 10 2 3 2 2 2 2 3 2" xfId="2205"/>
    <cellStyle name="Standaard 10 2 3 2 2 2 2 3 2 2" xfId="4347"/>
    <cellStyle name="Standaard 10 2 3 2 2 2 2 3 3" xfId="3296"/>
    <cellStyle name="Standaard 10 2 3 2 2 2 2 3 4" xfId="5393"/>
    <cellStyle name="Standaard 10 2 3 2 2 2 2 4" xfId="1684"/>
    <cellStyle name="Standaard 10 2 3 2 2 2 2 4 2" xfId="3830"/>
    <cellStyle name="Standaard 10 2 3 2 2 2 2 5" xfId="2779"/>
    <cellStyle name="Standaard 10 2 3 2 2 2 2 6" xfId="4876"/>
    <cellStyle name="Standaard 10 2 3 2 2 2 3" xfId="713"/>
    <cellStyle name="Standaard 10 2 3 2 2 2 3 2" xfId="1232"/>
    <cellStyle name="Standaard 10 2 3 2 2 2 3 2 2" xfId="2338"/>
    <cellStyle name="Standaard 10 2 3 2 2 2 3 2 2 2" xfId="4480"/>
    <cellStyle name="Standaard 10 2 3 2 2 2 3 2 3" xfId="3429"/>
    <cellStyle name="Standaard 10 2 3 2 2 2 3 2 4" xfId="5526"/>
    <cellStyle name="Standaard 10 2 3 2 2 2 3 3" xfId="1821"/>
    <cellStyle name="Standaard 10 2 3 2 2 2 3 3 2" xfId="3963"/>
    <cellStyle name="Standaard 10 2 3 2 2 2 3 4" xfId="2912"/>
    <cellStyle name="Standaard 10 2 3 2 2 2 3 5" xfId="5009"/>
    <cellStyle name="Standaard 10 2 3 2 2 2 4" xfId="973"/>
    <cellStyle name="Standaard 10 2 3 2 2 2 4 2" xfId="2079"/>
    <cellStyle name="Standaard 10 2 3 2 2 2 4 2 2" xfId="4221"/>
    <cellStyle name="Standaard 10 2 3 2 2 2 4 3" xfId="3170"/>
    <cellStyle name="Standaard 10 2 3 2 2 2 4 4" xfId="5267"/>
    <cellStyle name="Standaard 10 2 3 2 2 2 5" xfId="1555"/>
    <cellStyle name="Standaard 10 2 3 2 2 2 5 2" xfId="3704"/>
    <cellStyle name="Standaard 10 2 3 2 2 2 6" xfId="2653"/>
    <cellStyle name="Standaard 10 2 3 2 2 2 7" xfId="4750"/>
    <cellStyle name="Standaard 10 2 3 2 2 3" xfId="479"/>
    <cellStyle name="Standaard 10 2 3 2 2 3 2" xfId="778"/>
    <cellStyle name="Standaard 10 2 3 2 2 3 2 2" xfId="1297"/>
    <cellStyle name="Standaard 10 2 3 2 2 3 2 2 2" xfId="2403"/>
    <cellStyle name="Standaard 10 2 3 2 2 3 2 2 2 2" xfId="4545"/>
    <cellStyle name="Standaard 10 2 3 2 2 3 2 2 3" xfId="3494"/>
    <cellStyle name="Standaard 10 2 3 2 2 3 2 2 4" xfId="5591"/>
    <cellStyle name="Standaard 10 2 3 2 2 3 2 3" xfId="1886"/>
    <cellStyle name="Standaard 10 2 3 2 2 3 2 3 2" xfId="4028"/>
    <cellStyle name="Standaard 10 2 3 2 2 3 2 4" xfId="2977"/>
    <cellStyle name="Standaard 10 2 3 2 2 3 2 5" xfId="5074"/>
    <cellStyle name="Standaard 10 2 3 2 2 3 3" xfId="1038"/>
    <cellStyle name="Standaard 10 2 3 2 2 3 3 2" xfId="2144"/>
    <cellStyle name="Standaard 10 2 3 2 2 3 3 2 2" xfId="4286"/>
    <cellStyle name="Standaard 10 2 3 2 2 3 3 3" xfId="3235"/>
    <cellStyle name="Standaard 10 2 3 2 2 3 3 4" xfId="5332"/>
    <cellStyle name="Standaard 10 2 3 2 2 3 4" xfId="1623"/>
    <cellStyle name="Standaard 10 2 3 2 2 3 4 2" xfId="3769"/>
    <cellStyle name="Standaard 10 2 3 2 2 3 5" xfId="2718"/>
    <cellStyle name="Standaard 10 2 3 2 2 3 6" xfId="4815"/>
    <cellStyle name="Standaard 10 2 3 2 2 4" xfId="652"/>
    <cellStyle name="Standaard 10 2 3 2 2 4 2" xfId="1171"/>
    <cellStyle name="Standaard 10 2 3 2 2 4 2 2" xfId="2277"/>
    <cellStyle name="Standaard 10 2 3 2 2 4 2 2 2" xfId="4419"/>
    <cellStyle name="Standaard 10 2 3 2 2 4 2 3" xfId="3368"/>
    <cellStyle name="Standaard 10 2 3 2 2 4 2 4" xfId="5465"/>
    <cellStyle name="Standaard 10 2 3 2 2 4 3" xfId="1760"/>
    <cellStyle name="Standaard 10 2 3 2 2 4 3 2" xfId="3902"/>
    <cellStyle name="Standaard 10 2 3 2 2 4 4" xfId="2851"/>
    <cellStyle name="Standaard 10 2 3 2 2 4 5" xfId="4948"/>
    <cellStyle name="Standaard 10 2 3 2 2 5" xfId="912"/>
    <cellStyle name="Standaard 10 2 3 2 2 5 2" xfId="2018"/>
    <cellStyle name="Standaard 10 2 3 2 2 5 2 2" xfId="4160"/>
    <cellStyle name="Standaard 10 2 3 2 2 5 3" xfId="3109"/>
    <cellStyle name="Standaard 10 2 3 2 2 5 4" xfId="5206"/>
    <cellStyle name="Standaard 10 2 3 2 2 6" xfId="1491"/>
    <cellStyle name="Standaard 10 2 3 2 2 6 2" xfId="3643"/>
    <cellStyle name="Standaard 10 2 3 2 2 7" xfId="2592"/>
    <cellStyle name="Standaard 10 2 3 2 2 8" xfId="4689"/>
    <cellStyle name="Standaard 10 2 3 2 3" xfId="357"/>
    <cellStyle name="Standaard 10 2 3 2 3 2" xfId="511"/>
    <cellStyle name="Standaard 10 2 3 2 3 2 2" xfId="810"/>
    <cellStyle name="Standaard 10 2 3 2 3 2 2 2" xfId="1329"/>
    <cellStyle name="Standaard 10 2 3 2 3 2 2 2 2" xfId="2435"/>
    <cellStyle name="Standaard 10 2 3 2 3 2 2 2 2 2" xfId="4577"/>
    <cellStyle name="Standaard 10 2 3 2 3 2 2 2 3" xfId="3526"/>
    <cellStyle name="Standaard 10 2 3 2 3 2 2 2 4" xfId="5623"/>
    <cellStyle name="Standaard 10 2 3 2 3 2 2 3" xfId="1918"/>
    <cellStyle name="Standaard 10 2 3 2 3 2 2 3 2" xfId="4060"/>
    <cellStyle name="Standaard 10 2 3 2 3 2 2 4" xfId="3009"/>
    <cellStyle name="Standaard 10 2 3 2 3 2 2 5" xfId="5106"/>
    <cellStyle name="Standaard 10 2 3 2 3 2 3" xfId="1070"/>
    <cellStyle name="Standaard 10 2 3 2 3 2 3 2" xfId="2176"/>
    <cellStyle name="Standaard 10 2 3 2 3 2 3 2 2" xfId="4318"/>
    <cellStyle name="Standaard 10 2 3 2 3 2 3 3" xfId="3267"/>
    <cellStyle name="Standaard 10 2 3 2 3 2 3 4" xfId="5364"/>
    <cellStyle name="Standaard 10 2 3 2 3 2 4" xfId="1655"/>
    <cellStyle name="Standaard 10 2 3 2 3 2 4 2" xfId="3801"/>
    <cellStyle name="Standaard 10 2 3 2 3 2 5" xfId="2750"/>
    <cellStyle name="Standaard 10 2 3 2 3 2 6" xfId="4847"/>
    <cellStyle name="Standaard 10 2 3 2 3 3" xfId="684"/>
    <cellStyle name="Standaard 10 2 3 2 3 3 2" xfId="1203"/>
    <cellStyle name="Standaard 10 2 3 2 3 3 2 2" xfId="2309"/>
    <cellStyle name="Standaard 10 2 3 2 3 3 2 2 2" xfId="4451"/>
    <cellStyle name="Standaard 10 2 3 2 3 3 2 3" xfId="3400"/>
    <cellStyle name="Standaard 10 2 3 2 3 3 2 4" xfId="5497"/>
    <cellStyle name="Standaard 10 2 3 2 3 3 3" xfId="1792"/>
    <cellStyle name="Standaard 10 2 3 2 3 3 3 2" xfId="3934"/>
    <cellStyle name="Standaard 10 2 3 2 3 3 4" xfId="2883"/>
    <cellStyle name="Standaard 10 2 3 2 3 3 5" xfId="4980"/>
    <cellStyle name="Standaard 10 2 3 2 3 4" xfId="944"/>
    <cellStyle name="Standaard 10 2 3 2 3 4 2" xfId="2050"/>
    <cellStyle name="Standaard 10 2 3 2 3 4 2 2" xfId="4192"/>
    <cellStyle name="Standaard 10 2 3 2 3 4 3" xfId="3141"/>
    <cellStyle name="Standaard 10 2 3 2 3 4 4" xfId="5238"/>
    <cellStyle name="Standaard 10 2 3 2 3 5" xfId="1525"/>
    <cellStyle name="Standaard 10 2 3 2 3 5 2" xfId="3675"/>
    <cellStyle name="Standaard 10 2 3 2 3 6" xfId="2624"/>
    <cellStyle name="Standaard 10 2 3 2 3 7" xfId="4721"/>
    <cellStyle name="Standaard 10 2 3 2 4" xfId="442"/>
    <cellStyle name="Standaard 10 2 3 2 4 2" xfId="749"/>
    <cellStyle name="Standaard 10 2 3 2 4 2 2" xfId="1268"/>
    <cellStyle name="Standaard 10 2 3 2 4 2 2 2" xfId="2374"/>
    <cellStyle name="Standaard 10 2 3 2 4 2 2 2 2" xfId="4516"/>
    <cellStyle name="Standaard 10 2 3 2 4 2 2 3" xfId="3465"/>
    <cellStyle name="Standaard 10 2 3 2 4 2 2 4" xfId="5562"/>
    <cellStyle name="Standaard 10 2 3 2 4 2 3" xfId="1857"/>
    <cellStyle name="Standaard 10 2 3 2 4 2 3 2" xfId="3999"/>
    <cellStyle name="Standaard 10 2 3 2 4 2 4" xfId="2948"/>
    <cellStyle name="Standaard 10 2 3 2 4 2 5" xfId="5045"/>
    <cellStyle name="Standaard 10 2 3 2 4 3" xfId="1009"/>
    <cellStyle name="Standaard 10 2 3 2 4 3 2" xfId="2115"/>
    <cellStyle name="Standaard 10 2 3 2 4 3 2 2" xfId="4257"/>
    <cellStyle name="Standaard 10 2 3 2 4 3 3" xfId="3206"/>
    <cellStyle name="Standaard 10 2 3 2 4 3 4" xfId="5303"/>
    <cellStyle name="Standaard 10 2 3 2 4 4" xfId="1592"/>
    <cellStyle name="Standaard 10 2 3 2 4 4 2" xfId="3740"/>
    <cellStyle name="Standaard 10 2 3 2 4 5" xfId="2689"/>
    <cellStyle name="Standaard 10 2 3 2 4 6" xfId="4786"/>
    <cellStyle name="Standaard 10 2 3 2 5" xfId="623"/>
    <cellStyle name="Standaard 10 2 3 2 5 2" xfId="1142"/>
    <cellStyle name="Standaard 10 2 3 2 5 2 2" xfId="2248"/>
    <cellStyle name="Standaard 10 2 3 2 5 2 2 2" xfId="4390"/>
    <cellStyle name="Standaard 10 2 3 2 5 2 3" xfId="3339"/>
    <cellStyle name="Standaard 10 2 3 2 5 2 4" xfId="5436"/>
    <cellStyle name="Standaard 10 2 3 2 5 3" xfId="1731"/>
    <cellStyle name="Standaard 10 2 3 2 5 3 2" xfId="3873"/>
    <cellStyle name="Standaard 10 2 3 2 5 4" xfId="2822"/>
    <cellStyle name="Standaard 10 2 3 2 5 5" xfId="4919"/>
    <cellStyle name="Standaard 10 2 3 2 6" xfId="883"/>
    <cellStyle name="Standaard 10 2 3 2 6 2" xfId="1989"/>
    <cellStyle name="Standaard 10 2 3 2 6 2 2" xfId="4131"/>
    <cellStyle name="Standaard 10 2 3 2 6 3" xfId="3080"/>
    <cellStyle name="Standaard 10 2 3 2 6 4" xfId="5177"/>
    <cellStyle name="Standaard 10 2 3 2 7" xfId="1441"/>
    <cellStyle name="Standaard 10 2 3 2 7 2" xfId="3614"/>
    <cellStyle name="Standaard 10 2 3 2 8" xfId="2563"/>
    <cellStyle name="Standaard 10 2 3 2 9" xfId="4660"/>
    <cellStyle name="Standaard 10 2 3 3" xfId="306"/>
    <cellStyle name="Standaard 10 2 3 3 2" xfId="378"/>
    <cellStyle name="Standaard 10 2 3 3 2 2" xfId="529"/>
    <cellStyle name="Standaard 10 2 3 3 2 2 2" xfId="828"/>
    <cellStyle name="Standaard 10 2 3 3 2 2 2 2" xfId="1347"/>
    <cellStyle name="Standaard 10 2 3 3 2 2 2 2 2" xfId="2453"/>
    <cellStyle name="Standaard 10 2 3 3 2 2 2 2 2 2" xfId="4595"/>
    <cellStyle name="Standaard 10 2 3 3 2 2 2 2 3" xfId="3544"/>
    <cellStyle name="Standaard 10 2 3 3 2 2 2 2 4" xfId="5641"/>
    <cellStyle name="Standaard 10 2 3 3 2 2 2 3" xfId="1936"/>
    <cellStyle name="Standaard 10 2 3 3 2 2 2 3 2" xfId="4078"/>
    <cellStyle name="Standaard 10 2 3 3 2 2 2 4" xfId="3027"/>
    <cellStyle name="Standaard 10 2 3 3 2 2 2 5" xfId="5124"/>
    <cellStyle name="Standaard 10 2 3 3 2 2 3" xfId="1088"/>
    <cellStyle name="Standaard 10 2 3 3 2 2 3 2" xfId="2194"/>
    <cellStyle name="Standaard 10 2 3 3 2 2 3 2 2" xfId="4336"/>
    <cellStyle name="Standaard 10 2 3 3 2 2 3 3" xfId="3285"/>
    <cellStyle name="Standaard 10 2 3 3 2 2 3 4" xfId="5382"/>
    <cellStyle name="Standaard 10 2 3 3 2 2 4" xfId="1673"/>
    <cellStyle name="Standaard 10 2 3 3 2 2 4 2" xfId="3819"/>
    <cellStyle name="Standaard 10 2 3 3 2 2 5" xfId="2768"/>
    <cellStyle name="Standaard 10 2 3 3 2 2 6" xfId="4865"/>
    <cellStyle name="Standaard 10 2 3 3 2 3" xfId="702"/>
    <cellStyle name="Standaard 10 2 3 3 2 3 2" xfId="1221"/>
    <cellStyle name="Standaard 10 2 3 3 2 3 2 2" xfId="2327"/>
    <cellStyle name="Standaard 10 2 3 3 2 3 2 2 2" xfId="4469"/>
    <cellStyle name="Standaard 10 2 3 3 2 3 2 3" xfId="3418"/>
    <cellStyle name="Standaard 10 2 3 3 2 3 2 4" xfId="5515"/>
    <cellStyle name="Standaard 10 2 3 3 2 3 3" xfId="1810"/>
    <cellStyle name="Standaard 10 2 3 3 2 3 3 2" xfId="3952"/>
    <cellStyle name="Standaard 10 2 3 3 2 3 4" xfId="2901"/>
    <cellStyle name="Standaard 10 2 3 3 2 3 5" xfId="4998"/>
    <cellStyle name="Standaard 10 2 3 3 2 4" xfId="962"/>
    <cellStyle name="Standaard 10 2 3 3 2 4 2" xfId="2068"/>
    <cellStyle name="Standaard 10 2 3 3 2 4 2 2" xfId="4210"/>
    <cellStyle name="Standaard 10 2 3 3 2 4 3" xfId="3159"/>
    <cellStyle name="Standaard 10 2 3 3 2 4 4" xfId="5256"/>
    <cellStyle name="Standaard 10 2 3 3 2 5" xfId="1544"/>
    <cellStyle name="Standaard 10 2 3 3 2 5 2" xfId="3693"/>
    <cellStyle name="Standaard 10 2 3 3 2 6" xfId="2642"/>
    <cellStyle name="Standaard 10 2 3 3 2 7" xfId="4739"/>
    <cellStyle name="Standaard 10 2 3 3 3" xfId="468"/>
    <cellStyle name="Standaard 10 2 3 3 3 2" xfId="767"/>
    <cellStyle name="Standaard 10 2 3 3 3 2 2" xfId="1286"/>
    <cellStyle name="Standaard 10 2 3 3 3 2 2 2" xfId="2392"/>
    <cellStyle name="Standaard 10 2 3 3 3 2 2 2 2" xfId="4534"/>
    <cellStyle name="Standaard 10 2 3 3 3 2 2 3" xfId="3483"/>
    <cellStyle name="Standaard 10 2 3 3 3 2 2 4" xfId="5580"/>
    <cellStyle name="Standaard 10 2 3 3 3 2 3" xfId="1875"/>
    <cellStyle name="Standaard 10 2 3 3 3 2 3 2" xfId="4017"/>
    <cellStyle name="Standaard 10 2 3 3 3 2 4" xfId="2966"/>
    <cellStyle name="Standaard 10 2 3 3 3 2 5" xfId="5063"/>
    <cellStyle name="Standaard 10 2 3 3 3 3" xfId="1027"/>
    <cellStyle name="Standaard 10 2 3 3 3 3 2" xfId="2133"/>
    <cellStyle name="Standaard 10 2 3 3 3 3 2 2" xfId="4275"/>
    <cellStyle name="Standaard 10 2 3 3 3 3 3" xfId="3224"/>
    <cellStyle name="Standaard 10 2 3 3 3 3 4" xfId="5321"/>
    <cellStyle name="Standaard 10 2 3 3 3 4" xfId="1612"/>
    <cellStyle name="Standaard 10 2 3 3 3 4 2" xfId="3758"/>
    <cellStyle name="Standaard 10 2 3 3 3 5" xfId="2707"/>
    <cellStyle name="Standaard 10 2 3 3 3 6" xfId="4804"/>
    <cellStyle name="Standaard 10 2 3 3 4" xfId="641"/>
    <cellStyle name="Standaard 10 2 3 3 4 2" xfId="1160"/>
    <cellStyle name="Standaard 10 2 3 3 4 2 2" xfId="2266"/>
    <cellStyle name="Standaard 10 2 3 3 4 2 2 2" xfId="4408"/>
    <cellStyle name="Standaard 10 2 3 3 4 2 3" xfId="3357"/>
    <cellStyle name="Standaard 10 2 3 3 4 2 4" xfId="5454"/>
    <cellStyle name="Standaard 10 2 3 3 4 3" xfId="1749"/>
    <cellStyle name="Standaard 10 2 3 3 4 3 2" xfId="3891"/>
    <cellStyle name="Standaard 10 2 3 3 4 4" xfId="2840"/>
    <cellStyle name="Standaard 10 2 3 3 4 5" xfId="4937"/>
    <cellStyle name="Standaard 10 2 3 3 5" xfId="901"/>
    <cellStyle name="Standaard 10 2 3 3 5 2" xfId="2007"/>
    <cellStyle name="Standaard 10 2 3 3 5 2 2" xfId="4149"/>
    <cellStyle name="Standaard 10 2 3 3 5 3" xfId="3098"/>
    <cellStyle name="Standaard 10 2 3 3 5 4" xfId="5195"/>
    <cellStyle name="Standaard 10 2 3 3 6" xfId="1480"/>
    <cellStyle name="Standaard 10 2 3 3 6 2" xfId="3632"/>
    <cellStyle name="Standaard 10 2 3 3 7" xfId="2581"/>
    <cellStyle name="Standaard 10 2 3 3 8" xfId="4678"/>
    <cellStyle name="Standaard 10 2 3 4" xfId="344"/>
    <cellStyle name="Standaard 10 2 3 4 2" xfId="498"/>
    <cellStyle name="Standaard 10 2 3 4 2 2" xfId="797"/>
    <cellStyle name="Standaard 10 2 3 4 2 2 2" xfId="1316"/>
    <cellStyle name="Standaard 10 2 3 4 2 2 2 2" xfId="2422"/>
    <cellStyle name="Standaard 10 2 3 4 2 2 2 2 2" xfId="4564"/>
    <cellStyle name="Standaard 10 2 3 4 2 2 2 3" xfId="3513"/>
    <cellStyle name="Standaard 10 2 3 4 2 2 2 4" xfId="5610"/>
    <cellStyle name="Standaard 10 2 3 4 2 2 3" xfId="1905"/>
    <cellStyle name="Standaard 10 2 3 4 2 2 3 2" xfId="4047"/>
    <cellStyle name="Standaard 10 2 3 4 2 2 4" xfId="2996"/>
    <cellStyle name="Standaard 10 2 3 4 2 2 5" xfId="5093"/>
    <cellStyle name="Standaard 10 2 3 4 2 3" xfId="1057"/>
    <cellStyle name="Standaard 10 2 3 4 2 3 2" xfId="2163"/>
    <cellStyle name="Standaard 10 2 3 4 2 3 2 2" xfId="4305"/>
    <cellStyle name="Standaard 10 2 3 4 2 3 3" xfId="3254"/>
    <cellStyle name="Standaard 10 2 3 4 2 3 4" xfId="5351"/>
    <cellStyle name="Standaard 10 2 3 4 2 4" xfId="1642"/>
    <cellStyle name="Standaard 10 2 3 4 2 4 2" xfId="3788"/>
    <cellStyle name="Standaard 10 2 3 4 2 5" xfId="2737"/>
    <cellStyle name="Standaard 10 2 3 4 2 6" xfId="4834"/>
    <cellStyle name="Standaard 10 2 3 4 3" xfId="671"/>
    <cellStyle name="Standaard 10 2 3 4 3 2" xfId="1190"/>
    <cellStyle name="Standaard 10 2 3 4 3 2 2" xfId="2296"/>
    <cellStyle name="Standaard 10 2 3 4 3 2 2 2" xfId="4438"/>
    <cellStyle name="Standaard 10 2 3 4 3 2 3" xfId="3387"/>
    <cellStyle name="Standaard 10 2 3 4 3 2 4" xfId="5484"/>
    <cellStyle name="Standaard 10 2 3 4 3 3" xfId="1779"/>
    <cellStyle name="Standaard 10 2 3 4 3 3 2" xfId="3921"/>
    <cellStyle name="Standaard 10 2 3 4 3 4" xfId="2870"/>
    <cellStyle name="Standaard 10 2 3 4 3 5" xfId="4967"/>
    <cellStyle name="Standaard 10 2 3 4 4" xfId="931"/>
    <cellStyle name="Standaard 10 2 3 4 4 2" xfId="2037"/>
    <cellStyle name="Standaard 10 2 3 4 4 2 2" xfId="4179"/>
    <cellStyle name="Standaard 10 2 3 4 4 3" xfId="3128"/>
    <cellStyle name="Standaard 10 2 3 4 4 4" xfId="5225"/>
    <cellStyle name="Standaard 10 2 3 4 5" xfId="1512"/>
    <cellStyle name="Standaard 10 2 3 4 5 2" xfId="3662"/>
    <cellStyle name="Standaard 10 2 3 4 6" xfId="2611"/>
    <cellStyle name="Standaard 10 2 3 4 7" xfId="4708"/>
    <cellStyle name="Standaard 10 2 3 5" xfId="412"/>
    <cellStyle name="Standaard 10 2 3 5 2" xfId="725"/>
    <cellStyle name="Standaard 10 2 3 5 2 2" xfId="1244"/>
    <cellStyle name="Standaard 10 2 3 5 2 2 2" xfId="2350"/>
    <cellStyle name="Standaard 10 2 3 5 2 2 2 2" xfId="4492"/>
    <cellStyle name="Standaard 10 2 3 5 2 2 3" xfId="3441"/>
    <cellStyle name="Standaard 10 2 3 5 2 2 4" xfId="5538"/>
    <cellStyle name="Standaard 10 2 3 5 2 3" xfId="1833"/>
    <cellStyle name="Standaard 10 2 3 5 2 3 2" xfId="3975"/>
    <cellStyle name="Standaard 10 2 3 5 2 4" xfId="2924"/>
    <cellStyle name="Standaard 10 2 3 5 2 5" xfId="5021"/>
    <cellStyle name="Standaard 10 2 3 5 3" xfId="985"/>
    <cellStyle name="Standaard 10 2 3 5 3 2" xfId="2091"/>
    <cellStyle name="Standaard 10 2 3 5 3 2 2" xfId="4233"/>
    <cellStyle name="Standaard 10 2 3 5 3 3" xfId="3182"/>
    <cellStyle name="Standaard 10 2 3 5 3 4" xfId="5279"/>
    <cellStyle name="Standaard 10 2 3 5 4" xfId="1568"/>
    <cellStyle name="Standaard 10 2 3 5 4 2" xfId="3716"/>
    <cellStyle name="Standaard 10 2 3 5 5" xfId="2665"/>
    <cellStyle name="Standaard 10 2 3 5 6" xfId="4762"/>
    <cellStyle name="Standaard 10 2 3 6" xfId="424"/>
    <cellStyle name="Standaard 10 2 3 6 2" xfId="737"/>
    <cellStyle name="Standaard 10 2 3 6 2 2" xfId="1256"/>
    <cellStyle name="Standaard 10 2 3 6 2 2 2" xfId="2362"/>
    <cellStyle name="Standaard 10 2 3 6 2 2 2 2" xfId="4504"/>
    <cellStyle name="Standaard 10 2 3 6 2 2 3" xfId="3453"/>
    <cellStyle name="Standaard 10 2 3 6 2 2 4" xfId="5550"/>
    <cellStyle name="Standaard 10 2 3 6 2 3" xfId="1845"/>
    <cellStyle name="Standaard 10 2 3 6 2 3 2" xfId="3987"/>
    <cellStyle name="Standaard 10 2 3 6 2 4" xfId="2936"/>
    <cellStyle name="Standaard 10 2 3 6 2 5" xfId="5033"/>
    <cellStyle name="Standaard 10 2 3 6 3" xfId="997"/>
    <cellStyle name="Standaard 10 2 3 6 3 2" xfId="2103"/>
    <cellStyle name="Standaard 10 2 3 6 3 2 2" xfId="4245"/>
    <cellStyle name="Standaard 10 2 3 6 3 3" xfId="3194"/>
    <cellStyle name="Standaard 10 2 3 6 3 4" xfId="5291"/>
    <cellStyle name="Standaard 10 2 3 6 4" xfId="1580"/>
    <cellStyle name="Standaard 10 2 3 6 4 2" xfId="3728"/>
    <cellStyle name="Standaard 10 2 3 6 5" xfId="2677"/>
    <cellStyle name="Standaard 10 2 3 6 6" xfId="4774"/>
    <cellStyle name="Standaard 10 2 3 7" xfId="610"/>
    <cellStyle name="Standaard 10 2 3 7 2" xfId="1129"/>
    <cellStyle name="Standaard 10 2 3 7 2 2" xfId="2235"/>
    <cellStyle name="Standaard 10 2 3 7 2 2 2" xfId="4377"/>
    <cellStyle name="Standaard 10 2 3 7 2 3" xfId="3326"/>
    <cellStyle name="Standaard 10 2 3 7 2 4" xfId="5423"/>
    <cellStyle name="Standaard 10 2 3 7 3" xfId="1718"/>
    <cellStyle name="Standaard 10 2 3 7 3 2" xfId="3860"/>
    <cellStyle name="Standaard 10 2 3 7 4" xfId="2809"/>
    <cellStyle name="Standaard 10 2 3 7 5" xfId="4906"/>
    <cellStyle name="Standaard 10 2 3 8" xfId="869"/>
    <cellStyle name="Standaard 10 2 3 8 2" xfId="1977"/>
    <cellStyle name="Standaard 10 2 3 8 2 2" xfId="4119"/>
    <cellStyle name="Standaard 10 2 3 8 3" xfId="3068"/>
    <cellStyle name="Standaard 10 2 3 8 4" xfId="5165"/>
    <cellStyle name="Standaard 10 2 3 9" xfId="1402"/>
    <cellStyle name="Standaard 10 2 3 9 2" xfId="2494"/>
    <cellStyle name="Standaard 10 2 3 9 2 2" xfId="4636"/>
    <cellStyle name="Standaard 10 2 3 9 3" xfId="3585"/>
    <cellStyle name="Standaard 10 2 3 9 4" xfId="5682"/>
    <cellStyle name="Standaard 10 2 4" xfId="66"/>
    <cellStyle name="Standaard 10 2 4 2" xfId="296"/>
    <cellStyle name="Standaard 10 2 4 2 2" xfId="370"/>
    <cellStyle name="Standaard 10 2 4 2 2 2" xfId="521"/>
    <cellStyle name="Standaard 10 2 4 2 2 2 2" xfId="820"/>
    <cellStyle name="Standaard 10 2 4 2 2 2 2 2" xfId="1339"/>
    <cellStyle name="Standaard 10 2 4 2 2 2 2 2 2" xfId="2445"/>
    <cellStyle name="Standaard 10 2 4 2 2 2 2 2 2 2" xfId="4587"/>
    <cellStyle name="Standaard 10 2 4 2 2 2 2 2 3" xfId="3536"/>
    <cellStyle name="Standaard 10 2 4 2 2 2 2 2 4" xfId="5633"/>
    <cellStyle name="Standaard 10 2 4 2 2 2 2 3" xfId="1928"/>
    <cellStyle name="Standaard 10 2 4 2 2 2 2 3 2" xfId="4070"/>
    <cellStyle name="Standaard 10 2 4 2 2 2 2 4" xfId="3019"/>
    <cellStyle name="Standaard 10 2 4 2 2 2 2 5" xfId="5116"/>
    <cellStyle name="Standaard 10 2 4 2 2 2 3" xfId="1080"/>
    <cellStyle name="Standaard 10 2 4 2 2 2 3 2" xfId="2186"/>
    <cellStyle name="Standaard 10 2 4 2 2 2 3 2 2" xfId="4328"/>
    <cellStyle name="Standaard 10 2 4 2 2 2 3 3" xfId="3277"/>
    <cellStyle name="Standaard 10 2 4 2 2 2 3 4" xfId="5374"/>
    <cellStyle name="Standaard 10 2 4 2 2 2 4" xfId="1665"/>
    <cellStyle name="Standaard 10 2 4 2 2 2 4 2" xfId="3811"/>
    <cellStyle name="Standaard 10 2 4 2 2 2 5" xfId="2760"/>
    <cellStyle name="Standaard 10 2 4 2 2 2 6" xfId="4857"/>
    <cellStyle name="Standaard 10 2 4 2 2 3" xfId="694"/>
    <cellStyle name="Standaard 10 2 4 2 2 3 2" xfId="1213"/>
    <cellStyle name="Standaard 10 2 4 2 2 3 2 2" xfId="2319"/>
    <cellStyle name="Standaard 10 2 4 2 2 3 2 2 2" xfId="4461"/>
    <cellStyle name="Standaard 10 2 4 2 2 3 2 3" xfId="3410"/>
    <cellStyle name="Standaard 10 2 4 2 2 3 2 4" xfId="5507"/>
    <cellStyle name="Standaard 10 2 4 2 2 3 3" xfId="1802"/>
    <cellStyle name="Standaard 10 2 4 2 2 3 3 2" xfId="3944"/>
    <cellStyle name="Standaard 10 2 4 2 2 3 4" xfId="2893"/>
    <cellStyle name="Standaard 10 2 4 2 2 3 5" xfId="4990"/>
    <cellStyle name="Standaard 10 2 4 2 2 4" xfId="954"/>
    <cellStyle name="Standaard 10 2 4 2 2 4 2" xfId="2060"/>
    <cellStyle name="Standaard 10 2 4 2 2 4 2 2" xfId="4202"/>
    <cellStyle name="Standaard 10 2 4 2 2 4 3" xfId="3151"/>
    <cellStyle name="Standaard 10 2 4 2 2 4 4" xfId="5248"/>
    <cellStyle name="Standaard 10 2 4 2 2 5" xfId="1536"/>
    <cellStyle name="Standaard 10 2 4 2 2 5 2" xfId="3685"/>
    <cellStyle name="Standaard 10 2 4 2 2 6" xfId="2634"/>
    <cellStyle name="Standaard 10 2 4 2 2 7" xfId="4731"/>
    <cellStyle name="Standaard 10 2 4 2 3" xfId="460"/>
    <cellStyle name="Standaard 10 2 4 2 3 2" xfId="759"/>
    <cellStyle name="Standaard 10 2 4 2 3 2 2" xfId="1278"/>
    <cellStyle name="Standaard 10 2 4 2 3 2 2 2" xfId="2384"/>
    <cellStyle name="Standaard 10 2 4 2 3 2 2 2 2" xfId="4526"/>
    <cellStyle name="Standaard 10 2 4 2 3 2 2 3" xfId="3475"/>
    <cellStyle name="Standaard 10 2 4 2 3 2 2 4" xfId="5572"/>
    <cellStyle name="Standaard 10 2 4 2 3 2 3" xfId="1867"/>
    <cellStyle name="Standaard 10 2 4 2 3 2 3 2" xfId="4009"/>
    <cellStyle name="Standaard 10 2 4 2 3 2 4" xfId="2958"/>
    <cellStyle name="Standaard 10 2 4 2 3 2 5" xfId="5055"/>
    <cellStyle name="Standaard 10 2 4 2 3 3" xfId="1019"/>
    <cellStyle name="Standaard 10 2 4 2 3 3 2" xfId="2125"/>
    <cellStyle name="Standaard 10 2 4 2 3 3 2 2" xfId="4267"/>
    <cellStyle name="Standaard 10 2 4 2 3 3 3" xfId="3216"/>
    <cellStyle name="Standaard 10 2 4 2 3 3 4" xfId="5313"/>
    <cellStyle name="Standaard 10 2 4 2 3 4" xfId="1604"/>
    <cellStyle name="Standaard 10 2 4 2 3 4 2" xfId="3750"/>
    <cellStyle name="Standaard 10 2 4 2 3 5" xfId="2699"/>
    <cellStyle name="Standaard 10 2 4 2 3 6" xfId="4796"/>
    <cellStyle name="Standaard 10 2 4 2 4" xfId="633"/>
    <cellStyle name="Standaard 10 2 4 2 4 2" xfId="1152"/>
    <cellStyle name="Standaard 10 2 4 2 4 2 2" xfId="2258"/>
    <cellStyle name="Standaard 10 2 4 2 4 2 2 2" xfId="4400"/>
    <cellStyle name="Standaard 10 2 4 2 4 2 3" xfId="3349"/>
    <cellStyle name="Standaard 10 2 4 2 4 2 4" xfId="5446"/>
    <cellStyle name="Standaard 10 2 4 2 4 3" xfId="1741"/>
    <cellStyle name="Standaard 10 2 4 2 4 3 2" xfId="3883"/>
    <cellStyle name="Standaard 10 2 4 2 4 4" xfId="2832"/>
    <cellStyle name="Standaard 10 2 4 2 4 5" xfId="4929"/>
    <cellStyle name="Standaard 10 2 4 2 5" xfId="893"/>
    <cellStyle name="Standaard 10 2 4 2 5 2" xfId="1999"/>
    <cellStyle name="Standaard 10 2 4 2 5 2 2" xfId="4141"/>
    <cellStyle name="Standaard 10 2 4 2 5 3" xfId="3090"/>
    <cellStyle name="Standaard 10 2 4 2 5 4" xfId="5187"/>
    <cellStyle name="Standaard 10 2 4 2 6" xfId="1472"/>
    <cellStyle name="Standaard 10 2 4 2 6 2" xfId="3624"/>
    <cellStyle name="Standaard 10 2 4 2 7" xfId="2573"/>
    <cellStyle name="Standaard 10 2 4 2 8" xfId="4670"/>
    <cellStyle name="Standaard 10 2 4 3" xfId="349"/>
    <cellStyle name="Standaard 10 2 4 3 2" xfId="503"/>
    <cellStyle name="Standaard 10 2 4 3 2 2" xfId="802"/>
    <cellStyle name="Standaard 10 2 4 3 2 2 2" xfId="1321"/>
    <cellStyle name="Standaard 10 2 4 3 2 2 2 2" xfId="2427"/>
    <cellStyle name="Standaard 10 2 4 3 2 2 2 2 2" xfId="4569"/>
    <cellStyle name="Standaard 10 2 4 3 2 2 2 3" xfId="3518"/>
    <cellStyle name="Standaard 10 2 4 3 2 2 2 4" xfId="5615"/>
    <cellStyle name="Standaard 10 2 4 3 2 2 3" xfId="1910"/>
    <cellStyle name="Standaard 10 2 4 3 2 2 3 2" xfId="4052"/>
    <cellStyle name="Standaard 10 2 4 3 2 2 4" xfId="3001"/>
    <cellStyle name="Standaard 10 2 4 3 2 2 5" xfId="5098"/>
    <cellStyle name="Standaard 10 2 4 3 2 3" xfId="1062"/>
    <cellStyle name="Standaard 10 2 4 3 2 3 2" xfId="2168"/>
    <cellStyle name="Standaard 10 2 4 3 2 3 2 2" xfId="4310"/>
    <cellStyle name="Standaard 10 2 4 3 2 3 3" xfId="3259"/>
    <cellStyle name="Standaard 10 2 4 3 2 3 4" xfId="5356"/>
    <cellStyle name="Standaard 10 2 4 3 2 4" xfId="1647"/>
    <cellStyle name="Standaard 10 2 4 3 2 4 2" xfId="3793"/>
    <cellStyle name="Standaard 10 2 4 3 2 5" xfId="2742"/>
    <cellStyle name="Standaard 10 2 4 3 2 6" xfId="4839"/>
    <cellStyle name="Standaard 10 2 4 3 3" xfId="676"/>
    <cellStyle name="Standaard 10 2 4 3 3 2" xfId="1195"/>
    <cellStyle name="Standaard 10 2 4 3 3 2 2" xfId="2301"/>
    <cellStyle name="Standaard 10 2 4 3 3 2 2 2" xfId="4443"/>
    <cellStyle name="Standaard 10 2 4 3 3 2 3" xfId="3392"/>
    <cellStyle name="Standaard 10 2 4 3 3 2 4" xfId="5489"/>
    <cellStyle name="Standaard 10 2 4 3 3 3" xfId="1784"/>
    <cellStyle name="Standaard 10 2 4 3 3 3 2" xfId="3926"/>
    <cellStyle name="Standaard 10 2 4 3 3 4" xfId="2875"/>
    <cellStyle name="Standaard 10 2 4 3 3 5" xfId="4972"/>
    <cellStyle name="Standaard 10 2 4 3 4" xfId="936"/>
    <cellStyle name="Standaard 10 2 4 3 4 2" xfId="2042"/>
    <cellStyle name="Standaard 10 2 4 3 4 2 2" xfId="4184"/>
    <cellStyle name="Standaard 10 2 4 3 4 3" xfId="3133"/>
    <cellStyle name="Standaard 10 2 4 3 4 4" xfId="5230"/>
    <cellStyle name="Standaard 10 2 4 3 5" xfId="1517"/>
    <cellStyle name="Standaard 10 2 4 3 5 2" xfId="3667"/>
    <cellStyle name="Standaard 10 2 4 3 6" xfId="2616"/>
    <cellStyle name="Standaard 10 2 4 3 7" xfId="4713"/>
    <cellStyle name="Standaard 10 2 4 4" xfId="435"/>
    <cellStyle name="Standaard 10 2 4 4 2" xfId="742"/>
    <cellStyle name="Standaard 10 2 4 4 2 2" xfId="1261"/>
    <cellStyle name="Standaard 10 2 4 4 2 2 2" xfId="2367"/>
    <cellStyle name="Standaard 10 2 4 4 2 2 2 2" xfId="4509"/>
    <cellStyle name="Standaard 10 2 4 4 2 2 3" xfId="3458"/>
    <cellStyle name="Standaard 10 2 4 4 2 2 4" xfId="5555"/>
    <cellStyle name="Standaard 10 2 4 4 2 3" xfId="1850"/>
    <cellStyle name="Standaard 10 2 4 4 2 3 2" xfId="3992"/>
    <cellStyle name="Standaard 10 2 4 4 2 4" xfId="2941"/>
    <cellStyle name="Standaard 10 2 4 4 2 5" xfId="5038"/>
    <cellStyle name="Standaard 10 2 4 4 3" xfId="1002"/>
    <cellStyle name="Standaard 10 2 4 4 3 2" xfId="2108"/>
    <cellStyle name="Standaard 10 2 4 4 3 2 2" xfId="4250"/>
    <cellStyle name="Standaard 10 2 4 4 3 3" xfId="3199"/>
    <cellStyle name="Standaard 10 2 4 4 3 4" xfId="5296"/>
    <cellStyle name="Standaard 10 2 4 4 4" xfId="1585"/>
    <cellStyle name="Standaard 10 2 4 4 4 2" xfId="3733"/>
    <cellStyle name="Standaard 10 2 4 4 5" xfId="2682"/>
    <cellStyle name="Standaard 10 2 4 4 6" xfId="4779"/>
    <cellStyle name="Standaard 10 2 4 5" xfId="615"/>
    <cellStyle name="Standaard 10 2 4 5 2" xfId="1134"/>
    <cellStyle name="Standaard 10 2 4 5 2 2" xfId="2240"/>
    <cellStyle name="Standaard 10 2 4 5 2 2 2" xfId="4382"/>
    <cellStyle name="Standaard 10 2 4 5 2 3" xfId="3331"/>
    <cellStyle name="Standaard 10 2 4 5 2 4" xfId="5428"/>
    <cellStyle name="Standaard 10 2 4 5 3" xfId="1723"/>
    <cellStyle name="Standaard 10 2 4 5 3 2" xfId="3865"/>
    <cellStyle name="Standaard 10 2 4 5 4" xfId="2814"/>
    <cellStyle name="Standaard 10 2 4 5 5" xfId="4911"/>
    <cellStyle name="Standaard 10 2 4 6" xfId="876"/>
    <cellStyle name="Standaard 10 2 4 6 2" xfId="1982"/>
    <cellStyle name="Standaard 10 2 4 6 2 2" xfId="4124"/>
    <cellStyle name="Standaard 10 2 4 6 3" xfId="3073"/>
    <cellStyle name="Standaard 10 2 4 6 4" xfId="5170"/>
    <cellStyle name="Standaard 10 2 4 7" xfId="1434"/>
    <cellStyle name="Standaard 10 2 4 7 2" xfId="3607"/>
    <cellStyle name="Standaard 10 2 4 8" xfId="2556"/>
    <cellStyle name="Standaard 10 2 4 9" xfId="4653"/>
    <cellStyle name="Standaard 10 2 5" xfId="264"/>
    <cellStyle name="Standaard 10 2 6" xfId="334"/>
    <cellStyle name="Standaard 10 2 6 2" xfId="490"/>
    <cellStyle name="Standaard 10 2 6 2 2" xfId="789"/>
    <cellStyle name="Standaard 10 2 6 2 2 2" xfId="1308"/>
    <cellStyle name="Standaard 10 2 6 2 2 2 2" xfId="2414"/>
    <cellStyle name="Standaard 10 2 6 2 2 2 2 2" xfId="4556"/>
    <cellStyle name="Standaard 10 2 6 2 2 2 3" xfId="3505"/>
    <cellStyle name="Standaard 10 2 6 2 2 2 4" xfId="5602"/>
    <cellStyle name="Standaard 10 2 6 2 2 3" xfId="1897"/>
    <cellStyle name="Standaard 10 2 6 2 2 3 2" xfId="4039"/>
    <cellStyle name="Standaard 10 2 6 2 2 4" xfId="2988"/>
    <cellStyle name="Standaard 10 2 6 2 2 5" xfId="5085"/>
    <cellStyle name="Standaard 10 2 6 2 3" xfId="1049"/>
    <cellStyle name="Standaard 10 2 6 2 3 2" xfId="2155"/>
    <cellStyle name="Standaard 10 2 6 2 3 2 2" xfId="4297"/>
    <cellStyle name="Standaard 10 2 6 2 3 3" xfId="3246"/>
    <cellStyle name="Standaard 10 2 6 2 3 4" xfId="5343"/>
    <cellStyle name="Standaard 10 2 6 2 4" xfId="1634"/>
    <cellStyle name="Standaard 10 2 6 2 4 2" xfId="3780"/>
    <cellStyle name="Standaard 10 2 6 2 5" xfId="2729"/>
    <cellStyle name="Standaard 10 2 6 2 6" xfId="4826"/>
    <cellStyle name="Standaard 10 2 6 3" xfId="663"/>
    <cellStyle name="Standaard 10 2 6 3 2" xfId="1182"/>
    <cellStyle name="Standaard 10 2 6 3 2 2" xfId="2288"/>
    <cellStyle name="Standaard 10 2 6 3 2 2 2" xfId="4430"/>
    <cellStyle name="Standaard 10 2 6 3 2 3" xfId="3379"/>
    <cellStyle name="Standaard 10 2 6 3 2 4" xfId="5476"/>
    <cellStyle name="Standaard 10 2 6 3 3" xfId="1771"/>
    <cellStyle name="Standaard 10 2 6 3 3 2" xfId="3913"/>
    <cellStyle name="Standaard 10 2 6 3 4" xfId="2862"/>
    <cellStyle name="Standaard 10 2 6 3 5" xfId="4959"/>
    <cellStyle name="Standaard 10 2 6 4" xfId="923"/>
    <cellStyle name="Standaard 10 2 6 4 2" xfId="2029"/>
    <cellStyle name="Standaard 10 2 6 4 2 2" xfId="4171"/>
    <cellStyle name="Standaard 10 2 6 4 3" xfId="3120"/>
    <cellStyle name="Standaard 10 2 6 4 4" xfId="5217"/>
    <cellStyle name="Standaard 10 2 6 5" xfId="1503"/>
    <cellStyle name="Standaard 10 2 6 5 2" xfId="3654"/>
    <cellStyle name="Standaard 10 2 6 6" xfId="2603"/>
    <cellStyle name="Standaard 10 2 6 7" xfId="4700"/>
    <cellStyle name="Standaard 10 2 7" xfId="324"/>
    <cellStyle name="Standaard 10 2 7 2" xfId="483"/>
    <cellStyle name="Standaard 10 2 7 2 2" xfId="782"/>
    <cellStyle name="Standaard 10 2 7 2 2 2" xfId="1301"/>
    <cellStyle name="Standaard 10 2 7 2 2 2 2" xfId="2407"/>
    <cellStyle name="Standaard 10 2 7 2 2 2 2 2" xfId="4549"/>
    <cellStyle name="Standaard 10 2 7 2 2 2 3" xfId="3498"/>
    <cellStyle name="Standaard 10 2 7 2 2 2 4" xfId="5595"/>
    <cellStyle name="Standaard 10 2 7 2 2 3" xfId="1890"/>
    <cellStyle name="Standaard 10 2 7 2 2 3 2" xfId="4032"/>
    <cellStyle name="Standaard 10 2 7 2 2 4" xfId="2981"/>
    <cellStyle name="Standaard 10 2 7 2 2 5" xfId="5078"/>
    <cellStyle name="Standaard 10 2 7 2 3" xfId="1042"/>
    <cellStyle name="Standaard 10 2 7 2 3 2" xfId="2148"/>
    <cellStyle name="Standaard 10 2 7 2 3 2 2" xfId="4290"/>
    <cellStyle name="Standaard 10 2 7 2 3 3" xfId="3239"/>
    <cellStyle name="Standaard 10 2 7 2 3 4" xfId="5336"/>
    <cellStyle name="Standaard 10 2 7 2 4" xfId="1627"/>
    <cellStyle name="Standaard 10 2 7 2 4 2" xfId="3773"/>
    <cellStyle name="Standaard 10 2 7 2 5" xfId="2722"/>
    <cellStyle name="Standaard 10 2 7 2 6" xfId="4819"/>
    <cellStyle name="Standaard 10 2 7 3" xfId="656"/>
    <cellStyle name="Standaard 10 2 7 3 2" xfId="1175"/>
    <cellStyle name="Standaard 10 2 7 3 2 2" xfId="2281"/>
    <cellStyle name="Standaard 10 2 7 3 2 2 2" xfId="4423"/>
    <cellStyle name="Standaard 10 2 7 3 2 3" xfId="3372"/>
    <cellStyle name="Standaard 10 2 7 3 2 4" xfId="5469"/>
    <cellStyle name="Standaard 10 2 7 3 3" xfId="1764"/>
    <cellStyle name="Standaard 10 2 7 3 3 2" xfId="3906"/>
    <cellStyle name="Standaard 10 2 7 3 4" xfId="2855"/>
    <cellStyle name="Standaard 10 2 7 3 5" xfId="4952"/>
    <cellStyle name="Standaard 10 2 7 4" xfId="916"/>
    <cellStyle name="Standaard 10 2 7 4 2" xfId="2022"/>
    <cellStyle name="Standaard 10 2 7 4 2 2" xfId="4164"/>
    <cellStyle name="Standaard 10 2 7 4 3" xfId="3113"/>
    <cellStyle name="Standaard 10 2 7 4 4" xfId="5210"/>
    <cellStyle name="Standaard 10 2 7 5" xfId="1495"/>
    <cellStyle name="Standaard 10 2 7 5 2" xfId="3647"/>
    <cellStyle name="Standaard 10 2 7 6" xfId="2596"/>
    <cellStyle name="Standaard 10 2 7 7" xfId="4693"/>
    <cellStyle name="Standaard 10 2 8" xfId="404"/>
    <cellStyle name="Standaard 10 2 8 2" xfId="717"/>
    <cellStyle name="Standaard 10 2 8 2 2" xfId="1236"/>
    <cellStyle name="Standaard 10 2 8 2 2 2" xfId="2342"/>
    <cellStyle name="Standaard 10 2 8 2 2 2 2" xfId="4484"/>
    <cellStyle name="Standaard 10 2 8 2 2 3" xfId="3433"/>
    <cellStyle name="Standaard 10 2 8 2 2 4" xfId="5530"/>
    <cellStyle name="Standaard 10 2 8 2 3" xfId="1825"/>
    <cellStyle name="Standaard 10 2 8 2 3 2" xfId="3967"/>
    <cellStyle name="Standaard 10 2 8 2 4" xfId="2916"/>
    <cellStyle name="Standaard 10 2 8 2 5" xfId="5013"/>
    <cellStyle name="Standaard 10 2 8 3" xfId="977"/>
    <cellStyle name="Standaard 10 2 8 3 2" xfId="2083"/>
    <cellStyle name="Standaard 10 2 8 3 2 2" xfId="4225"/>
    <cellStyle name="Standaard 10 2 8 3 3" xfId="3174"/>
    <cellStyle name="Standaard 10 2 8 3 4" xfId="5271"/>
    <cellStyle name="Standaard 10 2 8 4" xfId="1560"/>
    <cellStyle name="Standaard 10 2 8 4 2" xfId="3708"/>
    <cellStyle name="Standaard 10 2 8 5" xfId="2657"/>
    <cellStyle name="Standaard 10 2 8 6" xfId="4754"/>
    <cellStyle name="Standaard 10 2 9" xfId="416"/>
    <cellStyle name="Standaard 10 2 9 2" xfId="729"/>
    <cellStyle name="Standaard 10 2 9 2 2" xfId="1248"/>
    <cellStyle name="Standaard 10 2 9 2 2 2" xfId="2354"/>
    <cellStyle name="Standaard 10 2 9 2 2 2 2" xfId="4496"/>
    <cellStyle name="Standaard 10 2 9 2 2 3" xfId="3445"/>
    <cellStyle name="Standaard 10 2 9 2 2 4" xfId="5542"/>
    <cellStyle name="Standaard 10 2 9 2 3" xfId="1837"/>
    <cellStyle name="Standaard 10 2 9 2 3 2" xfId="3979"/>
    <cellStyle name="Standaard 10 2 9 2 4" xfId="2928"/>
    <cellStyle name="Standaard 10 2 9 2 5" xfId="5025"/>
    <cellStyle name="Standaard 10 2 9 3" xfId="989"/>
    <cellStyle name="Standaard 10 2 9 3 2" xfId="2095"/>
    <cellStyle name="Standaard 10 2 9 3 2 2" xfId="4237"/>
    <cellStyle name="Standaard 10 2 9 3 3" xfId="3186"/>
    <cellStyle name="Standaard 10 2 9 3 4" xfId="5283"/>
    <cellStyle name="Standaard 10 2 9 4" xfId="1572"/>
    <cellStyle name="Standaard 10 2 9 4 2" xfId="3720"/>
    <cellStyle name="Standaard 10 2 9 5" xfId="2669"/>
    <cellStyle name="Standaard 10 2 9 6" xfId="4766"/>
    <cellStyle name="Standaard 10 3" xfId="3"/>
    <cellStyle name="Standaard 10 3 2" xfId="37"/>
    <cellStyle name="Standaard 10 4" xfId="4"/>
    <cellStyle name="Standaard 10 4 10" xfId="1390"/>
    <cellStyle name="Standaard 10 4 10 2" xfId="2487"/>
    <cellStyle name="Standaard 10 4 10 2 2" xfId="4629"/>
    <cellStyle name="Standaard 10 4 10 3" xfId="3578"/>
    <cellStyle name="Standaard 10 4 10 4" xfId="5675"/>
    <cellStyle name="Standaard 10 4 11" xfId="1416"/>
    <cellStyle name="Standaard 10 4 11 2" xfId="3594"/>
    <cellStyle name="Standaard 10 4 12" xfId="2543"/>
    <cellStyle name="Standaard 10 4 13" xfId="4641"/>
    <cellStyle name="Standaard 10 4 2" xfId="61"/>
    <cellStyle name="Standaard 10 4 2 10" xfId="1429"/>
    <cellStyle name="Standaard 10 4 2 10 2" xfId="3602"/>
    <cellStyle name="Standaard 10 4 2 11" xfId="2551"/>
    <cellStyle name="Standaard 10 4 2 12" xfId="4649"/>
    <cellStyle name="Standaard 10 4 2 2" xfId="74"/>
    <cellStyle name="Standaard 10 4 2 2 2" xfId="319"/>
    <cellStyle name="Standaard 10 4 2 2 2 2" xfId="390"/>
    <cellStyle name="Standaard 10 4 2 2 2 2 2" xfId="541"/>
    <cellStyle name="Standaard 10 4 2 2 2 2 2 2" xfId="840"/>
    <cellStyle name="Standaard 10 4 2 2 2 2 2 2 2" xfId="1359"/>
    <cellStyle name="Standaard 10 4 2 2 2 2 2 2 2 2" xfId="2465"/>
    <cellStyle name="Standaard 10 4 2 2 2 2 2 2 2 2 2" xfId="4607"/>
    <cellStyle name="Standaard 10 4 2 2 2 2 2 2 2 3" xfId="3556"/>
    <cellStyle name="Standaard 10 4 2 2 2 2 2 2 2 4" xfId="5653"/>
    <cellStyle name="Standaard 10 4 2 2 2 2 2 2 3" xfId="1948"/>
    <cellStyle name="Standaard 10 4 2 2 2 2 2 2 3 2" xfId="4090"/>
    <cellStyle name="Standaard 10 4 2 2 2 2 2 2 4" xfId="3039"/>
    <cellStyle name="Standaard 10 4 2 2 2 2 2 2 5" xfId="5136"/>
    <cellStyle name="Standaard 10 4 2 2 2 2 2 3" xfId="1100"/>
    <cellStyle name="Standaard 10 4 2 2 2 2 2 3 2" xfId="2206"/>
    <cellStyle name="Standaard 10 4 2 2 2 2 2 3 2 2" xfId="4348"/>
    <cellStyle name="Standaard 10 4 2 2 2 2 2 3 3" xfId="3297"/>
    <cellStyle name="Standaard 10 4 2 2 2 2 2 3 4" xfId="5394"/>
    <cellStyle name="Standaard 10 4 2 2 2 2 2 4" xfId="1685"/>
    <cellStyle name="Standaard 10 4 2 2 2 2 2 4 2" xfId="3831"/>
    <cellStyle name="Standaard 10 4 2 2 2 2 2 5" xfId="2780"/>
    <cellStyle name="Standaard 10 4 2 2 2 2 2 6" xfId="4877"/>
    <cellStyle name="Standaard 10 4 2 2 2 2 3" xfId="714"/>
    <cellStyle name="Standaard 10 4 2 2 2 2 3 2" xfId="1233"/>
    <cellStyle name="Standaard 10 4 2 2 2 2 3 2 2" xfId="2339"/>
    <cellStyle name="Standaard 10 4 2 2 2 2 3 2 2 2" xfId="4481"/>
    <cellStyle name="Standaard 10 4 2 2 2 2 3 2 3" xfId="3430"/>
    <cellStyle name="Standaard 10 4 2 2 2 2 3 2 4" xfId="5527"/>
    <cellStyle name="Standaard 10 4 2 2 2 2 3 3" xfId="1822"/>
    <cellStyle name="Standaard 10 4 2 2 2 2 3 3 2" xfId="3964"/>
    <cellStyle name="Standaard 10 4 2 2 2 2 3 4" xfId="2913"/>
    <cellStyle name="Standaard 10 4 2 2 2 2 3 5" xfId="5010"/>
    <cellStyle name="Standaard 10 4 2 2 2 2 4" xfId="974"/>
    <cellStyle name="Standaard 10 4 2 2 2 2 4 2" xfId="2080"/>
    <cellStyle name="Standaard 10 4 2 2 2 2 4 2 2" xfId="4222"/>
    <cellStyle name="Standaard 10 4 2 2 2 2 4 3" xfId="3171"/>
    <cellStyle name="Standaard 10 4 2 2 2 2 4 4" xfId="5268"/>
    <cellStyle name="Standaard 10 4 2 2 2 2 5" xfId="1556"/>
    <cellStyle name="Standaard 10 4 2 2 2 2 5 2" xfId="3705"/>
    <cellStyle name="Standaard 10 4 2 2 2 2 6" xfId="2654"/>
    <cellStyle name="Standaard 10 4 2 2 2 2 7" xfId="4751"/>
    <cellStyle name="Standaard 10 4 2 2 2 3" xfId="480"/>
    <cellStyle name="Standaard 10 4 2 2 2 3 2" xfId="779"/>
    <cellStyle name="Standaard 10 4 2 2 2 3 2 2" xfId="1298"/>
    <cellStyle name="Standaard 10 4 2 2 2 3 2 2 2" xfId="2404"/>
    <cellStyle name="Standaard 10 4 2 2 2 3 2 2 2 2" xfId="4546"/>
    <cellStyle name="Standaard 10 4 2 2 2 3 2 2 3" xfId="3495"/>
    <cellStyle name="Standaard 10 4 2 2 2 3 2 2 4" xfId="5592"/>
    <cellStyle name="Standaard 10 4 2 2 2 3 2 3" xfId="1887"/>
    <cellStyle name="Standaard 10 4 2 2 2 3 2 3 2" xfId="4029"/>
    <cellStyle name="Standaard 10 4 2 2 2 3 2 4" xfId="2978"/>
    <cellStyle name="Standaard 10 4 2 2 2 3 2 5" xfId="5075"/>
    <cellStyle name="Standaard 10 4 2 2 2 3 3" xfId="1039"/>
    <cellStyle name="Standaard 10 4 2 2 2 3 3 2" xfId="2145"/>
    <cellStyle name="Standaard 10 4 2 2 2 3 3 2 2" xfId="4287"/>
    <cellStyle name="Standaard 10 4 2 2 2 3 3 3" xfId="3236"/>
    <cellStyle name="Standaard 10 4 2 2 2 3 3 4" xfId="5333"/>
    <cellStyle name="Standaard 10 4 2 2 2 3 4" xfId="1624"/>
    <cellStyle name="Standaard 10 4 2 2 2 3 4 2" xfId="3770"/>
    <cellStyle name="Standaard 10 4 2 2 2 3 5" xfId="2719"/>
    <cellStyle name="Standaard 10 4 2 2 2 3 6" xfId="4816"/>
    <cellStyle name="Standaard 10 4 2 2 2 4" xfId="653"/>
    <cellStyle name="Standaard 10 4 2 2 2 4 2" xfId="1172"/>
    <cellStyle name="Standaard 10 4 2 2 2 4 2 2" xfId="2278"/>
    <cellStyle name="Standaard 10 4 2 2 2 4 2 2 2" xfId="4420"/>
    <cellStyle name="Standaard 10 4 2 2 2 4 2 3" xfId="3369"/>
    <cellStyle name="Standaard 10 4 2 2 2 4 2 4" xfId="5466"/>
    <cellStyle name="Standaard 10 4 2 2 2 4 3" xfId="1761"/>
    <cellStyle name="Standaard 10 4 2 2 2 4 3 2" xfId="3903"/>
    <cellStyle name="Standaard 10 4 2 2 2 4 4" xfId="2852"/>
    <cellStyle name="Standaard 10 4 2 2 2 4 5" xfId="4949"/>
    <cellStyle name="Standaard 10 4 2 2 2 5" xfId="913"/>
    <cellStyle name="Standaard 10 4 2 2 2 5 2" xfId="2019"/>
    <cellStyle name="Standaard 10 4 2 2 2 5 2 2" xfId="4161"/>
    <cellStyle name="Standaard 10 4 2 2 2 5 3" xfId="3110"/>
    <cellStyle name="Standaard 10 4 2 2 2 5 4" xfId="5207"/>
    <cellStyle name="Standaard 10 4 2 2 2 6" xfId="1492"/>
    <cellStyle name="Standaard 10 4 2 2 2 6 2" xfId="3644"/>
    <cellStyle name="Standaard 10 4 2 2 2 7" xfId="2593"/>
    <cellStyle name="Standaard 10 4 2 2 2 8" xfId="4690"/>
    <cellStyle name="Standaard 10 4 2 2 3" xfId="358"/>
    <cellStyle name="Standaard 10 4 2 2 3 2" xfId="512"/>
    <cellStyle name="Standaard 10 4 2 2 3 2 2" xfId="811"/>
    <cellStyle name="Standaard 10 4 2 2 3 2 2 2" xfId="1330"/>
    <cellStyle name="Standaard 10 4 2 2 3 2 2 2 2" xfId="2436"/>
    <cellStyle name="Standaard 10 4 2 2 3 2 2 2 2 2" xfId="4578"/>
    <cellStyle name="Standaard 10 4 2 2 3 2 2 2 3" xfId="3527"/>
    <cellStyle name="Standaard 10 4 2 2 3 2 2 2 4" xfId="5624"/>
    <cellStyle name="Standaard 10 4 2 2 3 2 2 3" xfId="1919"/>
    <cellStyle name="Standaard 10 4 2 2 3 2 2 3 2" xfId="4061"/>
    <cellStyle name="Standaard 10 4 2 2 3 2 2 4" xfId="3010"/>
    <cellStyle name="Standaard 10 4 2 2 3 2 2 5" xfId="5107"/>
    <cellStyle name="Standaard 10 4 2 2 3 2 3" xfId="1071"/>
    <cellStyle name="Standaard 10 4 2 2 3 2 3 2" xfId="2177"/>
    <cellStyle name="Standaard 10 4 2 2 3 2 3 2 2" xfId="4319"/>
    <cellStyle name="Standaard 10 4 2 2 3 2 3 3" xfId="3268"/>
    <cellStyle name="Standaard 10 4 2 2 3 2 3 4" xfId="5365"/>
    <cellStyle name="Standaard 10 4 2 2 3 2 4" xfId="1656"/>
    <cellStyle name="Standaard 10 4 2 2 3 2 4 2" xfId="3802"/>
    <cellStyle name="Standaard 10 4 2 2 3 2 5" xfId="2751"/>
    <cellStyle name="Standaard 10 4 2 2 3 2 6" xfId="4848"/>
    <cellStyle name="Standaard 10 4 2 2 3 3" xfId="685"/>
    <cellStyle name="Standaard 10 4 2 2 3 3 2" xfId="1204"/>
    <cellStyle name="Standaard 10 4 2 2 3 3 2 2" xfId="2310"/>
    <cellStyle name="Standaard 10 4 2 2 3 3 2 2 2" xfId="4452"/>
    <cellStyle name="Standaard 10 4 2 2 3 3 2 3" xfId="3401"/>
    <cellStyle name="Standaard 10 4 2 2 3 3 2 4" xfId="5498"/>
    <cellStyle name="Standaard 10 4 2 2 3 3 3" xfId="1793"/>
    <cellStyle name="Standaard 10 4 2 2 3 3 3 2" xfId="3935"/>
    <cellStyle name="Standaard 10 4 2 2 3 3 4" xfId="2884"/>
    <cellStyle name="Standaard 10 4 2 2 3 3 5" xfId="4981"/>
    <cellStyle name="Standaard 10 4 2 2 3 4" xfId="945"/>
    <cellStyle name="Standaard 10 4 2 2 3 4 2" xfId="2051"/>
    <cellStyle name="Standaard 10 4 2 2 3 4 2 2" xfId="4193"/>
    <cellStyle name="Standaard 10 4 2 2 3 4 3" xfId="3142"/>
    <cellStyle name="Standaard 10 4 2 2 3 4 4" xfId="5239"/>
    <cellStyle name="Standaard 10 4 2 2 3 5" xfId="1526"/>
    <cellStyle name="Standaard 10 4 2 2 3 5 2" xfId="3676"/>
    <cellStyle name="Standaard 10 4 2 2 3 6" xfId="2625"/>
    <cellStyle name="Standaard 10 4 2 2 3 7" xfId="4722"/>
    <cellStyle name="Standaard 10 4 2 2 4" xfId="443"/>
    <cellStyle name="Standaard 10 4 2 2 4 2" xfId="750"/>
    <cellStyle name="Standaard 10 4 2 2 4 2 2" xfId="1269"/>
    <cellStyle name="Standaard 10 4 2 2 4 2 2 2" xfId="2375"/>
    <cellStyle name="Standaard 10 4 2 2 4 2 2 2 2" xfId="4517"/>
    <cellStyle name="Standaard 10 4 2 2 4 2 2 3" xfId="3466"/>
    <cellStyle name="Standaard 10 4 2 2 4 2 2 4" xfId="5563"/>
    <cellStyle name="Standaard 10 4 2 2 4 2 3" xfId="1858"/>
    <cellStyle name="Standaard 10 4 2 2 4 2 3 2" xfId="4000"/>
    <cellStyle name="Standaard 10 4 2 2 4 2 4" xfId="2949"/>
    <cellStyle name="Standaard 10 4 2 2 4 2 5" xfId="5046"/>
    <cellStyle name="Standaard 10 4 2 2 4 3" xfId="1010"/>
    <cellStyle name="Standaard 10 4 2 2 4 3 2" xfId="2116"/>
    <cellStyle name="Standaard 10 4 2 2 4 3 2 2" xfId="4258"/>
    <cellStyle name="Standaard 10 4 2 2 4 3 3" xfId="3207"/>
    <cellStyle name="Standaard 10 4 2 2 4 3 4" xfId="5304"/>
    <cellStyle name="Standaard 10 4 2 2 4 4" xfId="1593"/>
    <cellStyle name="Standaard 10 4 2 2 4 4 2" xfId="3741"/>
    <cellStyle name="Standaard 10 4 2 2 4 5" xfId="2690"/>
    <cellStyle name="Standaard 10 4 2 2 4 6" xfId="4787"/>
    <cellStyle name="Standaard 10 4 2 2 5" xfId="624"/>
    <cellStyle name="Standaard 10 4 2 2 5 2" xfId="1143"/>
    <cellStyle name="Standaard 10 4 2 2 5 2 2" xfId="2249"/>
    <cellStyle name="Standaard 10 4 2 2 5 2 2 2" xfId="4391"/>
    <cellStyle name="Standaard 10 4 2 2 5 2 3" xfId="3340"/>
    <cellStyle name="Standaard 10 4 2 2 5 2 4" xfId="5437"/>
    <cellStyle name="Standaard 10 4 2 2 5 3" xfId="1732"/>
    <cellStyle name="Standaard 10 4 2 2 5 3 2" xfId="3874"/>
    <cellStyle name="Standaard 10 4 2 2 5 4" xfId="2823"/>
    <cellStyle name="Standaard 10 4 2 2 5 5" xfId="4920"/>
    <cellStyle name="Standaard 10 4 2 2 6" xfId="884"/>
    <cellStyle name="Standaard 10 4 2 2 6 2" xfId="1990"/>
    <cellStyle name="Standaard 10 4 2 2 6 2 2" xfId="4132"/>
    <cellStyle name="Standaard 10 4 2 2 6 3" xfId="3081"/>
    <cellStyle name="Standaard 10 4 2 2 6 4" xfId="5178"/>
    <cellStyle name="Standaard 10 4 2 2 7" xfId="1442"/>
    <cellStyle name="Standaard 10 4 2 2 7 2" xfId="3615"/>
    <cellStyle name="Standaard 10 4 2 2 8" xfId="2564"/>
    <cellStyle name="Standaard 10 4 2 2 9" xfId="4661"/>
    <cellStyle name="Standaard 10 4 2 3" xfId="307"/>
    <cellStyle name="Standaard 10 4 2 3 2" xfId="379"/>
    <cellStyle name="Standaard 10 4 2 3 2 2" xfId="530"/>
    <cellStyle name="Standaard 10 4 2 3 2 2 2" xfId="829"/>
    <cellStyle name="Standaard 10 4 2 3 2 2 2 2" xfId="1348"/>
    <cellStyle name="Standaard 10 4 2 3 2 2 2 2 2" xfId="2454"/>
    <cellStyle name="Standaard 10 4 2 3 2 2 2 2 2 2" xfId="4596"/>
    <cellStyle name="Standaard 10 4 2 3 2 2 2 2 3" xfId="3545"/>
    <cellStyle name="Standaard 10 4 2 3 2 2 2 2 4" xfId="5642"/>
    <cellStyle name="Standaard 10 4 2 3 2 2 2 3" xfId="1937"/>
    <cellStyle name="Standaard 10 4 2 3 2 2 2 3 2" xfId="4079"/>
    <cellStyle name="Standaard 10 4 2 3 2 2 2 4" xfId="3028"/>
    <cellStyle name="Standaard 10 4 2 3 2 2 2 5" xfId="5125"/>
    <cellStyle name="Standaard 10 4 2 3 2 2 3" xfId="1089"/>
    <cellStyle name="Standaard 10 4 2 3 2 2 3 2" xfId="2195"/>
    <cellStyle name="Standaard 10 4 2 3 2 2 3 2 2" xfId="4337"/>
    <cellStyle name="Standaard 10 4 2 3 2 2 3 3" xfId="3286"/>
    <cellStyle name="Standaard 10 4 2 3 2 2 3 4" xfId="5383"/>
    <cellStyle name="Standaard 10 4 2 3 2 2 4" xfId="1674"/>
    <cellStyle name="Standaard 10 4 2 3 2 2 4 2" xfId="3820"/>
    <cellStyle name="Standaard 10 4 2 3 2 2 5" xfId="2769"/>
    <cellStyle name="Standaard 10 4 2 3 2 2 6" xfId="4866"/>
    <cellStyle name="Standaard 10 4 2 3 2 3" xfId="703"/>
    <cellStyle name="Standaard 10 4 2 3 2 3 2" xfId="1222"/>
    <cellStyle name="Standaard 10 4 2 3 2 3 2 2" xfId="2328"/>
    <cellStyle name="Standaard 10 4 2 3 2 3 2 2 2" xfId="4470"/>
    <cellStyle name="Standaard 10 4 2 3 2 3 2 3" xfId="3419"/>
    <cellStyle name="Standaard 10 4 2 3 2 3 2 4" xfId="5516"/>
    <cellStyle name="Standaard 10 4 2 3 2 3 3" xfId="1811"/>
    <cellStyle name="Standaard 10 4 2 3 2 3 3 2" xfId="3953"/>
    <cellStyle name="Standaard 10 4 2 3 2 3 4" xfId="2902"/>
    <cellStyle name="Standaard 10 4 2 3 2 3 5" xfId="4999"/>
    <cellStyle name="Standaard 10 4 2 3 2 4" xfId="963"/>
    <cellStyle name="Standaard 10 4 2 3 2 4 2" xfId="2069"/>
    <cellStyle name="Standaard 10 4 2 3 2 4 2 2" xfId="4211"/>
    <cellStyle name="Standaard 10 4 2 3 2 4 3" xfId="3160"/>
    <cellStyle name="Standaard 10 4 2 3 2 4 4" xfId="5257"/>
    <cellStyle name="Standaard 10 4 2 3 2 5" xfId="1545"/>
    <cellStyle name="Standaard 10 4 2 3 2 5 2" xfId="3694"/>
    <cellStyle name="Standaard 10 4 2 3 2 6" xfId="2643"/>
    <cellStyle name="Standaard 10 4 2 3 2 7" xfId="4740"/>
    <cellStyle name="Standaard 10 4 2 3 3" xfId="469"/>
    <cellStyle name="Standaard 10 4 2 3 3 2" xfId="768"/>
    <cellStyle name="Standaard 10 4 2 3 3 2 2" xfId="1287"/>
    <cellStyle name="Standaard 10 4 2 3 3 2 2 2" xfId="2393"/>
    <cellStyle name="Standaard 10 4 2 3 3 2 2 2 2" xfId="4535"/>
    <cellStyle name="Standaard 10 4 2 3 3 2 2 3" xfId="3484"/>
    <cellStyle name="Standaard 10 4 2 3 3 2 2 4" xfId="5581"/>
    <cellStyle name="Standaard 10 4 2 3 3 2 3" xfId="1876"/>
    <cellStyle name="Standaard 10 4 2 3 3 2 3 2" xfId="4018"/>
    <cellStyle name="Standaard 10 4 2 3 3 2 4" xfId="2967"/>
    <cellStyle name="Standaard 10 4 2 3 3 2 5" xfId="5064"/>
    <cellStyle name="Standaard 10 4 2 3 3 3" xfId="1028"/>
    <cellStyle name="Standaard 10 4 2 3 3 3 2" xfId="2134"/>
    <cellStyle name="Standaard 10 4 2 3 3 3 2 2" xfId="4276"/>
    <cellStyle name="Standaard 10 4 2 3 3 3 3" xfId="3225"/>
    <cellStyle name="Standaard 10 4 2 3 3 3 4" xfId="5322"/>
    <cellStyle name="Standaard 10 4 2 3 3 4" xfId="1613"/>
    <cellStyle name="Standaard 10 4 2 3 3 4 2" xfId="3759"/>
    <cellStyle name="Standaard 10 4 2 3 3 5" xfId="2708"/>
    <cellStyle name="Standaard 10 4 2 3 3 6" xfId="4805"/>
    <cellStyle name="Standaard 10 4 2 3 4" xfId="642"/>
    <cellStyle name="Standaard 10 4 2 3 4 2" xfId="1161"/>
    <cellStyle name="Standaard 10 4 2 3 4 2 2" xfId="2267"/>
    <cellStyle name="Standaard 10 4 2 3 4 2 2 2" xfId="4409"/>
    <cellStyle name="Standaard 10 4 2 3 4 2 3" xfId="3358"/>
    <cellStyle name="Standaard 10 4 2 3 4 2 4" xfId="5455"/>
    <cellStyle name="Standaard 10 4 2 3 4 3" xfId="1750"/>
    <cellStyle name="Standaard 10 4 2 3 4 3 2" xfId="3892"/>
    <cellStyle name="Standaard 10 4 2 3 4 4" xfId="2841"/>
    <cellStyle name="Standaard 10 4 2 3 4 5" xfId="4938"/>
    <cellStyle name="Standaard 10 4 2 3 5" xfId="902"/>
    <cellStyle name="Standaard 10 4 2 3 5 2" xfId="2008"/>
    <cellStyle name="Standaard 10 4 2 3 5 2 2" xfId="4150"/>
    <cellStyle name="Standaard 10 4 2 3 5 3" xfId="3099"/>
    <cellStyle name="Standaard 10 4 2 3 5 4" xfId="5196"/>
    <cellStyle name="Standaard 10 4 2 3 6" xfId="1481"/>
    <cellStyle name="Standaard 10 4 2 3 6 2" xfId="3633"/>
    <cellStyle name="Standaard 10 4 2 3 7" xfId="2582"/>
    <cellStyle name="Standaard 10 4 2 3 8" xfId="4679"/>
    <cellStyle name="Standaard 10 4 2 4" xfId="345"/>
    <cellStyle name="Standaard 10 4 2 4 2" xfId="499"/>
    <cellStyle name="Standaard 10 4 2 4 2 2" xfId="798"/>
    <cellStyle name="Standaard 10 4 2 4 2 2 2" xfId="1317"/>
    <cellStyle name="Standaard 10 4 2 4 2 2 2 2" xfId="2423"/>
    <cellStyle name="Standaard 10 4 2 4 2 2 2 2 2" xfId="4565"/>
    <cellStyle name="Standaard 10 4 2 4 2 2 2 3" xfId="3514"/>
    <cellStyle name="Standaard 10 4 2 4 2 2 2 4" xfId="5611"/>
    <cellStyle name="Standaard 10 4 2 4 2 2 3" xfId="1906"/>
    <cellStyle name="Standaard 10 4 2 4 2 2 3 2" xfId="4048"/>
    <cellStyle name="Standaard 10 4 2 4 2 2 4" xfId="2997"/>
    <cellStyle name="Standaard 10 4 2 4 2 2 5" xfId="5094"/>
    <cellStyle name="Standaard 10 4 2 4 2 3" xfId="1058"/>
    <cellStyle name="Standaard 10 4 2 4 2 3 2" xfId="2164"/>
    <cellStyle name="Standaard 10 4 2 4 2 3 2 2" xfId="4306"/>
    <cellStyle name="Standaard 10 4 2 4 2 3 3" xfId="3255"/>
    <cellStyle name="Standaard 10 4 2 4 2 3 4" xfId="5352"/>
    <cellStyle name="Standaard 10 4 2 4 2 4" xfId="1643"/>
    <cellStyle name="Standaard 10 4 2 4 2 4 2" xfId="3789"/>
    <cellStyle name="Standaard 10 4 2 4 2 5" xfId="2738"/>
    <cellStyle name="Standaard 10 4 2 4 2 6" xfId="4835"/>
    <cellStyle name="Standaard 10 4 2 4 3" xfId="672"/>
    <cellStyle name="Standaard 10 4 2 4 3 2" xfId="1191"/>
    <cellStyle name="Standaard 10 4 2 4 3 2 2" xfId="2297"/>
    <cellStyle name="Standaard 10 4 2 4 3 2 2 2" xfId="4439"/>
    <cellStyle name="Standaard 10 4 2 4 3 2 3" xfId="3388"/>
    <cellStyle name="Standaard 10 4 2 4 3 2 4" xfId="5485"/>
    <cellStyle name="Standaard 10 4 2 4 3 3" xfId="1780"/>
    <cellStyle name="Standaard 10 4 2 4 3 3 2" xfId="3922"/>
    <cellStyle name="Standaard 10 4 2 4 3 4" xfId="2871"/>
    <cellStyle name="Standaard 10 4 2 4 3 5" xfId="4968"/>
    <cellStyle name="Standaard 10 4 2 4 4" xfId="932"/>
    <cellStyle name="Standaard 10 4 2 4 4 2" xfId="2038"/>
    <cellStyle name="Standaard 10 4 2 4 4 2 2" xfId="4180"/>
    <cellStyle name="Standaard 10 4 2 4 4 3" xfId="3129"/>
    <cellStyle name="Standaard 10 4 2 4 4 4" xfId="5226"/>
    <cellStyle name="Standaard 10 4 2 4 5" xfId="1513"/>
    <cellStyle name="Standaard 10 4 2 4 5 2" xfId="3663"/>
    <cellStyle name="Standaard 10 4 2 4 6" xfId="2612"/>
    <cellStyle name="Standaard 10 4 2 4 7" xfId="4709"/>
    <cellStyle name="Standaard 10 4 2 5" xfId="413"/>
    <cellStyle name="Standaard 10 4 2 5 2" xfId="726"/>
    <cellStyle name="Standaard 10 4 2 5 2 2" xfId="1245"/>
    <cellStyle name="Standaard 10 4 2 5 2 2 2" xfId="2351"/>
    <cellStyle name="Standaard 10 4 2 5 2 2 2 2" xfId="4493"/>
    <cellStyle name="Standaard 10 4 2 5 2 2 3" xfId="3442"/>
    <cellStyle name="Standaard 10 4 2 5 2 2 4" xfId="5539"/>
    <cellStyle name="Standaard 10 4 2 5 2 3" xfId="1834"/>
    <cellStyle name="Standaard 10 4 2 5 2 3 2" xfId="3976"/>
    <cellStyle name="Standaard 10 4 2 5 2 4" xfId="2925"/>
    <cellStyle name="Standaard 10 4 2 5 2 5" xfId="5022"/>
    <cellStyle name="Standaard 10 4 2 5 3" xfId="986"/>
    <cellStyle name="Standaard 10 4 2 5 3 2" xfId="2092"/>
    <cellStyle name="Standaard 10 4 2 5 3 2 2" xfId="4234"/>
    <cellStyle name="Standaard 10 4 2 5 3 3" xfId="3183"/>
    <cellStyle name="Standaard 10 4 2 5 3 4" xfId="5280"/>
    <cellStyle name="Standaard 10 4 2 5 4" xfId="1569"/>
    <cellStyle name="Standaard 10 4 2 5 4 2" xfId="3717"/>
    <cellStyle name="Standaard 10 4 2 5 5" xfId="2666"/>
    <cellStyle name="Standaard 10 4 2 5 6" xfId="4763"/>
    <cellStyle name="Standaard 10 4 2 6" xfId="425"/>
    <cellStyle name="Standaard 10 4 2 6 2" xfId="738"/>
    <cellStyle name="Standaard 10 4 2 6 2 2" xfId="1257"/>
    <cellStyle name="Standaard 10 4 2 6 2 2 2" xfId="2363"/>
    <cellStyle name="Standaard 10 4 2 6 2 2 2 2" xfId="4505"/>
    <cellStyle name="Standaard 10 4 2 6 2 2 3" xfId="3454"/>
    <cellStyle name="Standaard 10 4 2 6 2 2 4" xfId="5551"/>
    <cellStyle name="Standaard 10 4 2 6 2 3" xfId="1846"/>
    <cellStyle name="Standaard 10 4 2 6 2 3 2" xfId="3988"/>
    <cellStyle name="Standaard 10 4 2 6 2 4" xfId="2937"/>
    <cellStyle name="Standaard 10 4 2 6 2 5" xfId="5034"/>
    <cellStyle name="Standaard 10 4 2 6 3" xfId="998"/>
    <cellStyle name="Standaard 10 4 2 6 3 2" xfId="2104"/>
    <cellStyle name="Standaard 10 4 2 6 3 2 2" xfId="4246"/>
    <cellStyle name="Standaard 10 4 2 6 3 3" xfId="3195"/>
    <cellStyle name="Standaard 10 4 2 6 3 4" xfId="5292"/>
    <cellStyle name="Standaard 10 4 2 6 4" xfId="1581"/>
    <cellStyle name="Standaard 10 4 2 6 4 2" xfId="3729"/>
    <cellStyle name="Standaard 10 4 2 6 5" xfId="2678"/>
    <cellStyle name="Standaard 10 4 2 6 6" xfId="4775"/>
    <cellStyle name="Standaard 10 4 2 7" xfId="611"/>
    <cellStyle name="Standaard 10 4 2 7 2" xfId="1130"/>
    <cellStyle name="Standaard 10 4 2 7 2 2" xfId="2236"/>
    <cellStyle name="Standaard 10 4 2 7 2 2 2" xfId="4378"/>
    <cellStyle name="Standaard 10 4 2 7 2 3" xfId="3327"/>
    <cellStyle name="Standaard 10 4 2 7 2 4" xfId="5424"/>
    <cellStyle name="Standaard 10 4 2 7 3" xfId="1719"/>
    <cellStyle name="Standaard 10 4 2 7 3 2" xfId="3861"/>
    <cellStyle name="Standaard 10 4 2 7 4" xfId="2810"/>
    <cellStyle name="Standaard 10 4 2 7 5" xfId="4907"/>
    <cellStyle name="Standaard 10 4 2 8" xfId="870"/>
    <cellStyle name="Standaard 10 4 2 8 2" xfId="1978"/>
    <cellStyle name="Standaard 10 4 2 8 2 2" xfId="4120"/>
    <cellStyle name="Standaard 10 4 2 8 3" xfId="3069"/>
    <cellStyle name="Standaard 10 4 2 8 4" xfId="5166"/>
    <cellStyle name="Standaard 10 4 2 9" xfId="1403"/>
    <cellStyle name="Standaard 10 4 2 9 2" xfId="2495"/>
    <cellStyle name="Standaard 10 4 2 9 2 2" xfId="4637"/>
    <cellStyle name="Standaard 10 4 2 9 3" xfId="3586"/>
    <cellStyle name="Standaard 10 4 2 9 4" xfId="5683"/>
    <cellStyle name="Standaard 10 4 3" xfId="67"/>
    <cellStyle name="Standaard 10 4 3 2" xfId="312"/>
    <cellStyle name="Standaard 10 4 3 2 2" xfId="383"/>
    <cellStyle name="Standaard 10 4 3 2 2 2" xfId="534"/>
    <cellStyle name="Standaard 10 4 3 2 2 2 2" xfId="833"/>
    <cellStyle name="Standaard 10 4 3 2 2 2 2 2" xfId="1352"/>
    <cellStyle name="Standaard 10 4 3 2 2 2 2 2 2" xfId="2458"/>
    <cellStyle name="Standaard 10 4 3 2 2 2 2 2 2 2" xfId="4600"/>
    <cellStyle name="Standaard 10 4 3 2 2 2 2 2 3" xfId="3549"/>
    <cellStyle name="Standaard 10 4 3 2 2 2 2 2 4" xfId="5646"/>
    <cellStyle name="Standaard 10 4 3 2 2 2 2 3" xfId="1941"/>
    <cellStyle name="Standaard 10 4 3 2 2 2 2 3 2" xfId="4083"/>
    <cellStyle name="Standaard 10 4 3 2 2 2 2 4" xfId="3032"/>
    <cellStyle name="Standaard 10 4 3 2 2 2 2 5" xfId="5129"/>
    <cellStyle name="Standaard 10 4 3 2 2 2 3" xfId="1093"/>
    <cellStyle name="Standaard 10 4 3 2 2 2 3 2" xfId="2199"/>
    <cellStyle name="Standaard 10 4 3 2 2 2 3 2 2" xfId="4341"/>
    <cellStyle name="Standaard 10 4 3 2 2 2 3 3" xfId="3290"/>
    <cellStyle name="Standaard 10 4 3 2 2 2 3 4" xfId="5387"/>
    <cellStyle name="Standaard 10 4 3 2 2 2 4" xfId="1678"/>
    <cellStyle name="Standaard 10 4 3 2 2 2 4 2" xfId="3824"/>
    <cellStyle name="Standaard 10 4 3 2 2 2 5" xfId="2773"/>
    <cellStyle name="Standaard 10 4 3 2 2 2 6" xfId="4870"/>
    <cellStyle name="Standaard 10 4 3 2 2 3" xfId="707"/>
    <cellStyle name="Standaard 10 4 3 2 2 3 2" xfId="1226"/>
    <cellStyle name="Standaard 10 4 3 2 2 3 2 2" xfId="2332"/>
    <cellStyle name="Standaard 10 4 3 2 2 3 2 2 2" xfId="4474"/>
    <cellStyle name="Standaard 10 4 3 2 2 3 2 3" xfId="3423"/>
    <cellStyle name="Standaard 10 4 3 2 2 3 2 4" xfId="5520"/>
    <cellStyle name="Standaard 10 4 3 2 2 3 3" xfId="1815"/>
    <cellStyle name="Standaard 10 4 3 2 2 3 3 2" xfId="3957"/>
    <cellStyle name="Standaard 10 4 3 2 2 3 4" xfId="2906"/>
    <cellStyle name="Standaard 10 4 3 2 2 3 5" xfId="5003"/>
    <cellStyle name="Standaard 10 4 3 2 2 4" xfId="967"/>
    <cellStyle name="Standaard 10 4 3 2 2 4 2" xfId="2073"/>
    <cellStyle name="Standaard 10 4 3 2 2 4 2 2" xfId="4215"/>
    <cellStyle name="Standaard 10 4 3 2 2 4 3" xfId="3164"/>
    <cellStyle name="Standaard 10 4 3 2 2 4 4" xfId="5261"/>
    <cellStyle name="Standaard 10 4 3 2 2 5" xfId="1549"/>
    <cellStyle name="Standaard 10 4 3 2 2 5 2" xfId="3698"/>
    <cellStyle name="Standaard 10 4 3 2 2 6" xfId="2647"/>
    <cellStyle name="Standaard 10 4 3 2 2 7" xfId="4744"/>
    <cellStyle name="Standaard 10 4 3 2 3" xfId="473"/>
    <cellStyle name="Standaard 10 4 3 2 3 2" xfId="772"/>
    <cellStyle name="Standaard 10 4 3 2 3 2 2" xfId="1291"/>
    <cellStyle name="Standaard 10 4 3 2 3 2 2 2" xfId="2397"/>
    <cellStyle name="Standaard 10 4 3 2 3 2 2 2 2" xfId="4539"/>
    <cellStyle name="Standaard 10 4 3 2 3 2 2 3" xfId="3488"/>
    <cellStyle name="Standaard 10 4 3 2 3 2 2 4" xfId="5585"/>
    <cellStyle name="Standaard 10 4 3 2 3 2 3" xfId="1880"/>
    <cellStyle name="Standaard 10 4 3 2 3 2 3 2" xfId="4022"/>
    <cellStyle name="Standaard 10 4 3 2 3 2 4" xfId="2971"/>
    <cellStyle name="Standaard 10 4 3 2 3 2 5" xfId="5068"/>
    <cellStyle name="Standaard 10 4 3 2 3 3" xfId="1032"/>
    <cellStyle name="Standaard 10 4 3 2 3 3 2" xfId="2138"/>
    <cellStyle name="Standaard 10 4 3 2 3 3 2 2" xfId="4280"/>
    <cellStyle name="Standaard 10 4 3 2 3 3 3" xfId="3229"/>
    <cellStyle name="Standaard 10 4 3 2 3 3 4" xfId="5326"/>
    <cellStyle name="Standaard 10 4 3 2 3 4" xfId="1617"/>
    <cellStyle name="Standaard 10 4 3 2 3 4 2" xfId="3763"/>
    <cellStyle name="Standaard 10 4 3 2 3 5" xfId="2712"/>
    <cellStyle name="Standaard 10 4 3 2 3 6" xfId="4809"/>
    <cellStyle name="Standaard 10 4 3 2 4" xfId="646"/>
    <cellStyle name="Standaard 10 4 3 2 4 2" xfId="1165"/>
    <cellStyle name="Standaard 10 4 3 2 4 2 2" xfId="2271"/>
    <cellStyle name="Standaard 10 4 3 2 4 2 2 2" xfId="4413"/>
    <cellStyle name="Standaard 10 4 3 2 4 2 3" xfId="3362"/>
    <cellStyle name="Standaard 10 4 3 2 4 2 4" xfId="5459"/>
    <cellStyle name="Standaard 10 4 3 2 4 3" xfId="1754"/>
    <cellStyle name="Standaard 10 4 3 2 4 3 2" xfId="3896"/>
    <cellStyle name="Standaard 10 4 3 2 4 4" xfId="2845"/>
    <cellStyle name="Standaard 10 4 3 2 4 5" xfId="4942"/>
    <cellStyle name="Standaard 10 4 3 2 5" xfId="906"/>
    <cellStyle name="Standaard 10 4 3 2 5 2" xfId="2012"/>
    <cellStyle name="Standaard 10 4 3 2 5 2 2" xfId="4154"/>
    <cellStyle name="Standaard 10 4 3 2 5 3" xfId="3103"/>
    <cellStyle name="Standaard 10 4 3 2 5 4" xfId="5200"/>
    <cellStyle name="Standaard 10 4 3 2 6" xfId="1485"/>
    <cellStyle name="Standaard 10 4 3 2 6 2" xfId="3637"/>
    <cellStyle name="Standaard 10 4 3 2 7" xfId="2586"/>
    <cellStyle name="Standaard 10 4 3 2 8" xfId="4683"/>
    <cellStyle name="Standaard 10 4 3 3" xfId="350"/>
    <cellStyle name="Standaard 10 4 3 3 2" xfId="504"/>
    <cellStyle name="Standaard 10 4 3 3 2 2" xfId="803"/>
    <cellStyle name="Standaard 10 4 3 3 2 2 2" xfId="1322"/>
    <cellStyle name="Standaard 10 4 3 3 2 2 2 2" xfId="2428"/>
    <cellStyle name="Standaard 10 4 3 3 2 2 2 2 2" xfId="4570"/>
    <cellStyle name="Standaard 10 4 3 3 2 2 2 3" xfId="3519"/>
    <cellStyle name="Standaard 10 4 3 3 2 2 2 4" xfId="5616"/>
    <cellStyle name="Standaard 10 4 3 3 2 2 3" xfId="1911"/>
    <cellStyle name="Standaard 10 4 3 3 2 2 3 2" xfId="4053"/>
    <cellStyle name="Standaard 10 4 3 3 2 2 4" xfId="3002"/>
    <cellStyle name="Standaard 10 4 3 3 2 2 5" xfId="5099"/>
    <cellStyle name="Standaard 10 4 3 3 2 3" xfId="1063"/>
    <cellStyle name="Standaard 10 4 3 3 2 3 2" xfId="2169"/>
    <cellStyle name="Standaard 10 4 3 3 2 3 2 2" xfId="4311"/>
    <cellStyle name="Standaard 10 4 3 3 2 3 3" xfId="3260"/>
    <cellStyle name="Standaard 10 4 3 3 2 3 4" xfId="5357"/>
    <cellStyle name="Standaard 10 4 3 3 2 4" xfId="1648"/>
    <cellStyle name="Standaard 10 4 3 3 2 4 2" xfId="3794"/>
    <cellStyle name="Standaard 10 4 3 3 2 5" xfId="2743"/>
    <cellStyle name="Standaard 10 4 3 3 2 6" xfId="4840"/>
    <cellStyle name="Standaard 10 4 3 3 3" xfId="677"/>
    <cellStyle name="Standaard 10 4 3 3 3 2" xfId="1196"/>
    <cellStyle name="Standaard 10 4 3 3 3 2 2" xfId="2302"/>
    <cellStyle name="Standaard 10 4 3 3 3 2 2 2" xfId="4444"/>
    <cellStyle name="Standaard 10 4 3 3 3 2 3" xfId="3393"/>
    <cellStyle name="Standaard 10 4 3 3 3 2 4" xfId="5490"/>
    <cellStyle name="Standaard 10 4 3 3 3 3" xfId="1785"/>
    <cellStyle name="Standaard 10 4 3 3 3 3 2" xfId="3927"/>
    <cellStyle name="Standaard 10 4 3 3 3 4" xfId="2876"/>
    <cellStyle name="Standaard 10 4 3 3 3 5" xfId="4973"/>
    <cellStyle name="Standaard 10 4 3 3 4" xfId="937"/>
    <cellStyle name="Standaard 10 4 3 3 4 2" xfId="2043"/>
    <cellStyle name="Standaard 10 4 3 3 4 2 2" xfId="4185"/>
    <cellStyle name="Standaard 10 4 3 3 4 3" xfId="3134"/>
    <cellStyle name="Standaard 10 4 3 3 4 4" xfId="5231"/>
    <cellStyle name="Standaard 10 4 3 3 5" xfId="1518"/>
    <cellStyle name="Standaard 10 4 3 3 5 2" xfId="3668"/>
    <cellStyle name="Standaard 10 4 3 3 6" xfId="2617"/>
    <cellStyle name="Standaard 10 4 3 3 7" xfId="4714"/>
    <cellStyle name="Standaard 10 4 3 4" xfId="436"/>
    <cellStyle name="Standaard 10 4 3 4 2" xfId="743"/>
    <cellStyle name="Standaard 10 4 3 4 2 2" xfId="1262"/>
    <cellStyle name="Standaard 10 4 3 4 2 2 2" xfId="2368"/>
    <cellStyle name="Standaard 10 4 3 4 2 2 2 2" xfId="4510"/>
    <cellStyle name="Standaard 10 4 3 4 2 2 3" xfId="3459"/>
    <cellStyle name="Standaard 10 4 3 4 2 2 4" xfId="5556"/>
    <cellStyle name="Standaard 10 4 3 4 2 3" xfId="1851"/>
    <cellStyle name="Standaard 10 4 3 4 2 3 2" xfId="3993"/>
    <cellStyle name="Standaard 10 4 3 4 2 4" xfId="2942"/>
    <cellStyle name="Standaard 10 4 3 4 2 5" xfId="5039"/>
    <cellStyle name="Standaard 10 4 3 4 3" xfId="1003"/>
    <cellStyle name="Standaard 10 4 3 4 3 2" xfId="2109"/>
    <cellStyle name="Standaard 10 4 3 4 3 2 2" xfId="4251"/>
    <cellStyle name="Standaard 10 4 3 4 3 3" xfId="3200"/>
    <cellStyle name="Standaard 10 4 3 4 3 4" xfId="5297"/>
    <cellStyle name="Standaard 10 4 3 4 4" xfId="1586"/>
    <cellStyle name="Standaard 10 4 3 4 4 2" xfId="3734"/>
    <cellStyle name="Standaard 10 4 3 4 5" xfId="2683"/>
    <cellStyle name="Standaard 10 4 3 4 6" xfId="4780"/>
    <cellStyle name="Standaard 10 4 3 5" xfId="616"/>
    <cellStyle name="Standaard 10 4 3 5 2" xfId="1135"/>
    <cellStyle name="Standaard 10 4 3 5 2 2" xfId="2241"/>
    <cellStyle name="Standaard 10 4 3 5 2 2 2" xfId="4383"/>
    <cellStyle name="Standaard 10 4 3 5 2 3" xfId="3332"/>
    <cellStyle name="Standaard 10 4 3 5 2 4" xfId="5429"/>
    <cellStyle name="Standaard 10 4 3 5 3" xfId="1724"/>
    <cellStyle name="Standaard 10 4 3 5 3 2" xfId="3866"/>
    <cellStyle name="Standaard 10 4 3 5 4" xfId="2815"/>
    <cellStyle name="Standaard 10 4 3 5 5" xfId="4912"/>
    <cellStyle name="Standaard 10 4 3 6" xfId="877"/>
    <cellStyle name="Standaard 10 4 3 6 2" xfId="1983"/>
    <cellStyle name="Standaard 10 4 3 6 2 2" xfId="4125"/>
    <cellStyle name="Standaard 10 4 3 6 3" xfId="3074"/>
    <cellStyle name="Standaard 10 4 3 6 4" xfId="5171"/>
    <cellStyle name="Standaard 10 4 3 7" xfId="1435"/>
    <cellStyle name="Standaard 10 4 3 7 2" xfId="3608"/>
    <cellStyle name="Standaard 10 4 3 8" xfId="2557"/>
    <cellStyle name="Standaard 10 4 3 9" xfId="4654"/>
    <cellStyle name="Standaard 10 4 4" xfId="297"/>
    <cellStyle name="Standaard 10 4 4 2" xfId="371"/>
    <cellStyle name="Standaard 10 4 4 2 2" xfId="522"/>
    <cellStyle name="Standaard 10 4 4 2 2 2" xfId="821"/>
    <cellStyle name="Standaard 10 4 4 2 2 2 2" xfId="1340"/>
    <cellStyle name="Standaard 10 4 4 2 2 2 2 2" xfId="2446"/>
    <cellStyle name="Standaard 10 4 4 2 2 2 2 2 2" xfId="4588"/>
    <cellStyle name="Standaard 10 4 4 2 2 2 2 3" xfId="3537"/>
    <cellStyle name="Standaard 10 4 4 2 2 2 2 4" xfId="5634"/>
    <cellStyle name="Standaard 10 4 4 2 2 2 3" xfId="1929"/>
    <cellStyle name="Standaard 10 4 4 2 2 2 3 2" xfId="4071"/>
    <cellStyle name="Standaard 10 4 4 2 2 2 4" xfId="3020"/>
    <cellStyle name="Standaard 10 4 4 2 2 2 5" xfId="5117"/>
    <cellStyle name="Standaard 10 4 4 2 2 3" xfId="1081"/>
    <cellStyle name="Standaard 10 4 4 2 2 3 2" xfId="2187"/>
    <cellStyle name="Standaard 10 4 4 2 2 3 2 2" xfId="4329"/>
    <cellStyle name="Standaard 10 4 4 2 2 3 3" xfId="3278"/>
    <cellStyle name="Standaard 10 4 4 2 2 3 4" xfId="5375"/>
    <cellStyle name="Standaard 10 4 4 2 2 4" xfId="1666"/>
    <cellStyle name="Standaard 10 4 4 2 2 4 2" xfId="3812"/>
    <cellStyle name="Standaard 10 4 4 2 2 5" xfId="2761"/>
    <cellStyle name="Standaard 10 4 4 2 2 6" xfId="4858"/>
    <cellStyle name="Standaard 10 4 4 2 3" xfId="695"/>
    <cellStyle name="Standaard 10 4 4 2 3 2" xfId="1214"/>
    <cellStyle name="Standaard 10 4 4 2 3 2 2" xfId="2320"/>
    <cellStyle name="Standaard 10 4 4 2 3 2 2 2" xfId="4462"/>
    <cellStyle name="Standaard 10 4 4 2 3 2 3" xfId="3411"/>
    <cellStyle name="Standaard 10 4 4 2 3 2 4" xfId="5508"/>
    <cellStyle name="Standaard 10 4 4 2 3 3" xfId="1803"/>
    <cellStyle name="Standaard 10 4 4 2 3 3 2" xfId="3945"/>
    <cellStyle name="Standaard 10 4 4 2 3 4" xfId="2894"/>
    <cellStyle name="Standaard 10 4 4 2 3 5" xfId="4991"/>
    <cellStyle name="Standaard 10 4 4 2 4" xfId="955"/>
    <cellStyle name="Standaard 10 4 4 2 4 2" xfId="2061"/>
    <cellStyle name="Standaard 10 4 4 2 4 2 2" xfId="4203"/>
    <cellStyle name="Standaard 10 4 4 2 4 3" xfId="3152"/>
    <cellStyle name="Standaard 10 4 4 2 4 4" xfId="5249"/>
    <cellStyle name="Standaard 10 4 4 2 5" xfId="1537"/>
    <cellStyle name="Standaard 10 4 4 2 5 2" xfId="3686"/>
    <cellStyle name="Standaard 10 4 4 2 6" xfId="2635"/>
    <cellStyle name="Standaard 10 4 4 2 7" xfId="4732"/>
    <cellStyle name="Standaard 10 4 4 3" xfId="461"/>
    <cellStyle name="Standaard 10 4 4 3 2" xfId="760"/>
    <cellStyle name="Standaard 10 4 4 3 2 2" xfId="1279"/>
    <cellStyle name="Standaard 10 4 4 3 2 2 2" xfId="2385"/>
    <cellStyle name="Standaard 10 4 4 3 2 2 2 2" xfId="4527"/>
    <cellStyle name="Standaard 10 4 4 3 2 2 3" xfId="3476"/>
    <cellStyle name="Standaard 10 4 4 3 2 2 4" xfId="5573"/>
    <cellStyle name="Standaard 10 4 4 3 2 3" xfId="1868"/>
    <cellStyle name="Standaard 10 4 4 3 2 3 2" xfId="4010"/>
    <cellStyle name="Standaard 10 4 4 3 2 4" xfId="2959"/>
    <cellStyle name="Standaard 10 4 4 3 2 5" xfId="5056"/>
    <cellStyle name="Standaard 10 4 4 3 3" xfId="1020"/>
    <cellStyle name="Standaard 10 4 4 3 3 2" xfId="2126"/>
    <cellStyle name="Standaard 10 4 4 3 3 2 2" xfId="4268"/>
    <cellStyle name="Standaard 10 4 4 3 3 3" xfId="3217"/>
    <cellStyle name="Standaard 10 4 4 3 3 4" xfId="5314"/>
    <cellStyle name="Standaard 10 4 4 3 4" xfId="1605"/>
    <cellStyle name="Standaard 10 4 4 3 4 2" xfId="3751"/>
    <cellStyle name="Standaard 10 4 4 3 5" xfId="2700"/>
    <cellStyle name="Standaard 10 4 4 3 6" xfId="4797"/>
    <cellStyle name="Standaard 10 4 4 4" xfId="634"/>
    <cellStyle name="Standaard 10 4 4 4 2" xfId="1153"/>
    <cellStyle name="Standaard 10 4 4 4 2 2" xfId="2259"/>
    <cellStyle name="Standaard 10 4 4 4 2 2 2" xfId="4401"/>
    <cellStyle name="Standaard 10 4 4 4 2 3" xfId="3350"/>
    <cellStyle name="Standaard 10 4 4 4 2 4" xfId="5447"/>
    <cellStyle name="Standaard 10 4 4 4 3" xfId="1742"/>
    <cellStyle name="Standaard 10 4 4 4 3 2" xfId="3884"/>
    <cellStyle name="Standaard 10 4 4 4 4" xfId="2833"/>
    <cellStyle name="Standaard 10 4 4 4 5" xfId="4930"/>
    <cellStyle name="Standaard 10 4 4 5" xfId="894"/>
    <cellStyle name="Standaard 10 4 4 5 2" xfId="2000"/>
    <cellStyle name="Standaard 10 4 4 5 2 2" xfId="4142"/>
    <cellStyle name="Standaard 10 4 4 5 3" xfId="3091"/>
    <cellStyle name="Standaard 10 4 4 5 4" xfId="5188"/>
    <cellStyle name="Standaard 10 4 4 6" xfId="1473"/>
    <cellStyle name="Standaard 10 4 4 6 2" xfId="3625"/>
    <cellStyle name="Standaard 10 4 4 7" xfId="2574"/>
    <cellStyle name="Standaard 10 4 4 8" xfId="4671"/>
    <cellStyle name="Standaard 10 4 5" xfId="339"/>
    <cellStyle name="Standaard 10 4 5 2" xfId="494"/>
    <cellStyle name="Standaard 10 4 5 2 2" xfId="793"/>
    <cellStyle name="Standaard 10 4 5 2 2 2" xfId="1312"/>
    <cellStyle name="Standaard 10 4 5 2 2 2 2" xfId="2418"/>
    <cellStyle name="Standaard 10 4 5 2 2 2 2 2" xfId="4560"/>
    <cellStyle name="Standaard 10 4 5 2 2 2 3" xfId="3509"/>
    <cellStyle name="Standaard 10 4 5 2 2 2 4" xfId="5606"/>
    <cellStyle name="Standaard 10 4 5 2 2 3" xfId="1901"/>
    <cellStyle name="Standaard 10 4 5 2 2 3 2" xfId="4043"/>
    <cellStyle name="Standaard 10 4 5 2 2 4" xfId="2992"/>
    <cellStyle name="Standaard 10 4 5 2 2 5" xfId="5089"/>
    <cellStyle name="Standaard 10 4 5 2 3" xfId="1053"/>
    <cellStyle name="Standaard 10 4 5 2 3 2" xfId="2159"/>
    <cellStyle name="Standaard 10 4 5 2 3 2 2" xfId="4301"/>
    <cellStyle name="Standaard 10 4 5 2 3 3" xfId="3250"/>
    <cellStyle name="Standaard 10 4 5 2 3 4" xfId="5347"/>
    <cellStyle name="Standaard 10 4 5 2 4" xfId="1638"/>
    <cellStyle name="Standaard 10 4 5 2 4 2" xfId="3784"/>
    <cellStyle name="Standaard 10 4 5 2 5" xfId="2733"/>
    <cellStyle name="Standaard 10 4 5 2 6" xfId="4830"/>
    <cellStyle name="Standaard 10 4 5 3" xfId="667"/>
    <cellStyle name="Standaard 10 4 5 3 2" xfId="1186"/>
    <cellStyle name="Standaard 10 4 5 3 2 2" xfId="2292"/>
    <cellStyle name="Standaard 10 4 5 3 2 2 2" xfId="4434"/>
    <cellStyle name="Standaard 10 4 5 3 2 3" xfId="3383"/>
    <cellStyle name="Standaard 10 4 5 3 2 4" xfId="5480"/>
    <cellStyle name="Standaard 10 4 5 3 3" xfId="1775"/>
    <cellStyle name="Standaard 10 4 5 3 3 2" xfId="3917"/>
    <cellStyle name="Standaard 10 4 5 3 4" xfId="2866"/>
    <cellStyle name="Standaard 10 4 5 3 5" xfId="4963"/>
    <cellStyle name="Standaard 10 4 5 4" xfId="927"/>
    <cellStyle name="Standaard 10 4 5 4 2" xfId="2033"/>
    <cellStyle name="Standaard 10 4 5 4 2 2" xfId="4175"/>
    <cellStyle name="Standaard 10 4 5 4 3" xfId="3124"/>
    <cellStyle name="Standaard 10 4 5 4 4" xfId="5221"/>
    <cellStyle name="Standaard 10 4 5 5" xfId="1508"/>
    <cellStyle name="Standaard 10 4 5 5 2" xfId="3658"/>
    <cellStyle name="Standaard 10 4 5 6" xfId="2607"/>
    <cellStyle name="Standaard 10 4 5 7" xfId="4704"/>
    <cellStyle name="Standaard 10 4 6" xfId="405"/>
    <cellStyle name="Standaard 10 4 6 2" xfId="718"/>
    <cellStyle name="Standaard 10 4 6 2 2" xfId="1237"/>
    <cellStyle name="Standaard 10 4 6 2 2 2" xfId="2343"/>
    <cellStyle name="Standaard 10 4 6 2 2 2 2" xfId="4485"/>
    <cellStyle name="Standaard 10 4 6 2 2 3" xfId="3434"/>
    <cellStyle name="Standaard 10 4 6 2 2 4" xfId="5531"/>
    <cellStyle name="Standaard 10 4 6 2 3" xfId="1826"/>
    <cellStyle name="Standaard 10 4 6 2 3 2" xfId="3968"/>
    <cellStyle name="Standaard 10 4 6 2 4" xfId="2917"/>
    <cellStyle name="Standaard 10 4 6 2 5" xfId="5014"/>
    <cellStyle name="Standaard 10 4 6 3" xfId="978"/>
    <cellStyle name="Standaard 10 4 6 3 2" xfId="2084"/>
    <cellStyle name="Standaard 10 4 6 3 2 2" xfId="4226"/>
    <cellStyle name="Standaard 10 4 6 3 3" xfId="3175"/>
    <cellStyle name="Standaard 10 4 6 3 4" xfId="5272"/>
    <cellStyle name="Standaard 10 4 6 4" xfId="1561"/>
    <cellStyle name="Standaard 10 4 6 4 2" xfId="3709"/>
    <cellStyle name="Standaard 10 4 6 5" xfId="2658"/>
    <cellStyle name="Standaard 10 4 6 6" xfId="4755"/>
    <cellStyle name="Standaard 10 4 7" xfId="417"/>
    <cellStyle name="Standaard 10 4 7 2" xfId="730"/>
    <cellStyle name="Standaard 10 4 7 2 2" xfId="1249"/>
    <cellStyle name="Standaard 10 4 7 2 2 2" xfId="2355"/>
    <cellStyle name="Standaard 10 4 7 2 2 2 2" xfId="4497"/>
    <cellStyle name="Standaard 10 4 7 2 2 3" xfId="3446"/>
    <cellStyle name="Standaard 10 4 7 2 2 4" xfId="5543"/>
    <cellStyle name="Standaard 10 4 7 2 3" xfId="1838"/>
    <cellStyle name="Standaard 10 4 7 2 3 2" xfId="3980"/>
    <cellStyle name="Standaard 10 4 7 2 4" xfId="2929"/>
    <cellStyle name="Standaard 10 4 7 2 5" xfId="5026"/>
    <cellStyle name="Standaard 10 4 7 3" xfId="990"/>
    <cellStyle name="Standaard 10 4 7 3 2" xfId="2096"/>
    <cellStyle name="Standaard 10 4 7 3 2 2" xfId="4238"/>
    <cellStyle name="Standaard 10 4 7 3 3" xfId="3187"/>
    <cellStyle name="Standaard 10 4 7 3 4" xfId="5284"/>
    <cellStyle name="Standaard 10 4 7 4" xfId="1573"/>
    <cellStyle name="Standaard 10 4 7 4 2" xfId="3721"/>
    <cellStyle name="Standaard 10 4 7 5" xfId="2670"/>
    <cellStyle name="Standaard 10 4 7 6" xfId="4767"/>
    <cellStyle name="Standaard 10 4 8" xfId="606"/>
    <cellStyle name="Standaard 10 4 8 2" xfId="1125"/>
    <cellStyle name="Standaard 10 4 8 2 2" xfId="2231"/>
    <cellStyle name="Standaard 10 4 8 2 2 2" xfId="4373"/>
    <cellStyle name="Standaard 10 4 8 2 3" xfId="3322"/>
    <cellStyle name="Standaard 10 4 8 2 4" xfId="5419"/>
    <cellStyle name="Standaard 10 4 8 3" xfId="1714"/>
    <cellStyle name="Standaard 10 4 8 3 2" xfId="3856"/>
    <cellStyle name="Standaard 10 4 8 4" xfId="2805"/>
    <cellStyle name="Standaard 10 4 8 5" xfId="4902"/>
    <cellStyle name="Standaard 10 4 9" xfId="862"/>
    <cellStyle name="Standaard 10 4 9 2" xfId="1970"/>
    <cellStyle name="Standaard 10 4 9 2 2" xfId="4112"/>
    <cellStyle name="Standaard 10 4 9 3" xfId="3061"/>
    <cellStyle name="Standaard 10 4 9 4" xfId="5158"/>
    <cellStyle name="Standaard 10 5" xfId="35"/>
    <cellStyle name="Standaard 10 6" xfId="117"/>
    <cellStyle name="Standaard 10 6 2" xfId="361"/>
    <cellStyle name="Standaard 10 6 2 2" xfId="515"/>
    <cellStyle name="Standaard 10 6 2 2 2" xfId="814"/>
    <cellStyle name="Standaard 10 6 2 2 2 2" xfId="1333"/>
    <cellStyle name="Standaard 10 6 2 2 2 2 2" xfId="2439"/>
    <cellStyle name="Standaard 10 6 2 2 2 2 2 2" xfId="4581"/>
    <cellStyle name="Standaard 10 6 2 2 2 2 3" xfId="3530"/>
    <cellStyle name="Standaard 10 6 2 2 2 2 4" xfId="5627"/>
    <cellStyle name="Standaard 10 6 2 2 2 3" xfId="1922"/>
    <cellStyle name="Standaard 10 6 2 2 2 3 2" xfId="4064"/>
    <cellStyle name="Standaard 10 6 2 2 2 4" xfId="3013"/>
    <cellStyle name="Standaard 10 6 2 2 2 5" xfId="5110"/>
    <cellStyle name="Standaard 10 6 2 2 3" xfId="1074"/>
    <cellStyle name="Standaard 10 6 2 2 3 2" xfId="2180"/>
    <cellStyle name="Standaard 10 6 2 2 3 2 2" xfId="4322"/>
    <cellStyle name="Standaard 10 6 2 2 3 3" xfId="3271"/>
    <cellStyle name="Standaard 10 6 2 2 3 4" xfId="5368"/>
    <cellStyle name="Standaard 10 6 2 2 4" xfId="1659"/>
    <cellStyle name="Standaard 10 6 2 2 4 2" xfId="3805"/>
    <cellStyle name="Standaard 10 6 2 2 5" xfId="2754"/>
    <cellStyle name="Standaard 10 6 2 2 6" xfId="4851"/>
    <cellStyle name="Standaard 10 6 2 3" xfId="688"/>
    <cellStyle name="Standaard 10 6 2 3 2" xfId="1207"/>
    <cellStyle name="Standaard 10 6 2 3 2 2" xfId="2313"/>
    <cellStyle name="Standaard 10 6 2 3 2 2 2" xfId="4455"/>
    <cellStyle name="Standaard 10 6 2 3 2 3" xfId="3404"/>
    <cellStyle name="Standaard 10 6 2 3 2 4" xfId="5501"/>
    <cellStyle name="Standaard 10 6 2 3 3" xfId="1796"/>
    <cellStyle name="Standaard 10 6 2 3 3 2" xfId="3938"/>
    <cellStyle name="Standaard 10 6 2 3 4" xfId="2887"/>
    <cellStyle name="Standaard 10 6 2 3 5" xfId="4984"/>
    <cellStyle name="Standaard 10 6 2 4" xfId="948"/>
    <cellStyle name="Standaard 10 6 2 4 2" xfId="2054"/>
    <cellStyle name="Standaard 10 6 2 4 2 2" xfId="4196"/>
    <cellStyle name="Standaard 10 6 2 4 3" xfId="3145"/>
    <cellStyle name="Standaard 10 6 2 4 4" xfId="5242"/>
    <cellStyle name="Standaard 10 6 2 5" xfId="1529"/>
    <cellStyle name="Standaard 10 6 2 5 2" xfId="3679"/>
    <cellStyle name="Standaard 10 6 2 6" xfId="2628"/>
    <cellStyle name="Standaard 10 6 2 7" xfId="4725"/>
    <cellStyle name="Standaard 10 6 3" xfId="447"/>
    <cellStyle name="Standaard 10 6 3 2" xfId="753"/>
    <cellStyle name="Standaard 10 6 3 2 2" xfId="1272"/>
    <cellStyle name="Standaard 10 6 3 2 2 2" xfId="2378"/>
    <cellStyle name="Standaard 10 6 3 2 2 2 2" xfId="4520"/>
    <cellStyle name="Standaard 10 6 3 2 2 3" xfId="3469"/>
    <cellStyle name="Standaard 10 6 3 2 2 4" xfId="5566"/>
    <cellStyle name="Standaard 10 6 3 2 3" xfId="1861"/>
    <cellStyle name="Standaard 10 6 3 2 3 2" xfId="4003"/>
    <cellStyle name="Standaard 10 6 3 2 4" xfId="2952"/>
    <cellStyle name="Standaard 10 6 3 2 5" xfId="5049"/>
    <cellStyle name="Standaard 10 6 3 3" xfId="1013"/>
    <cellStyle name="Standaard 10 6 3 3 2" xfId="2119"/>
    <cellStyle name="Standaard 10 6 3 3 2 2" xfId="4261"/>
    <cellStyle name="Standaard 10 6 3 3 3" xfId="3210"/>
    <cellStyle name="Standaard 10 6 3 3 4" xfId="5307"/>
    <cellStyle name="Standaard 10 6 3 4" xfId="1596"/>
    <cellStyle name="Standaard 10 6 3 4 2" xfId="3744"/>
    <cellStyle name="Standaard 10 6 3 5" xfId="2693"/>
    <cellStyle name="Standaard 10 6 3 6" xfId="4790"/>
    <cellStyle name="Standaard 10 6 4" xfId="627"/>
    <cellStyle name="Standaard 10 6 4 2" xfId="1146"/>
    <cellStyle name="Standaard 10 6 4 2 2" xfId="2252"/>
    <cellStyle name="Standaard 10 6 4 2 2 2" xfId="4394"/>
    <cellStyle name="Standaard 10 6 4 2 3" xfId="3343"/>
    <cellStyle name="Standaard 10 6 4 2 4" xfId="5440"/>
    <cellStyle name="Standaard 10 6 4 3" xfId="1735"/>
    <cellStyle name="Standaard 10 6 4 3 2" xfId="3877"/>
    <cellStyle name="Standaard 10 6 4 4" xfId="2826"/>
    <cellStyle name="Standaard 10 6 4 5" xfId="4923"/>
    <cellStyle name="Standaard 10 6 5" xfId="887"/>
    <cellStyle name="Standaard 10 6 5 2" xfId="1993"/>
    <cellStyle name="Standaard 10 6 5 2 2" xfId="4135"/>
    <cellStyle name="Standaard 10 6 5 3" xfId="3084"/>
    <cellStyle name="Standaard 10 6 5 4" xfId="5181"/>
    <cellStyle name="Standaard 10 6 6" xfId="1445"/>
    <cellStyle name="Standaard 10 6 6 2" xfId="3618"/>
    <cellStyle name="Standaard 10 6 7" xfId="2567"/>
    <cellStyle name="Standaard 10 6 8" xfId="4664"/>
    <cellStyle name="Standaard 10 7" xfId="325"/>
    <cellStyle name="Standaard 10 7 2" xfId="484"/>
    <cellStyle name="Standaard 10 7 2 2" xfId="783"/>
    <cellStyle name="Standaard 10 7 2 2 2" xfId="1302"/>
    <cellStyle name="Standaard 10 7 2 2 2 2" xfId="2408"/>
    <cellStyle name="Standaard 10 7 2 2 2 2 2" xfId="4550"/>
    <cellStyle name="Standaard 10 7 2 2 2 3" xfId="3499"/>
    <cellStyle name="Standaard 10 7 2 2 2 4" xfId="5596"/>
    <cellStyle name="Standaard 10 7 2 2 3" xfId="1891"/>
    <cellStyle name="Standaard 10 7 2 2 3 2" xfId="4033"/>
    <cellStyle name="Standaard 10 7 2 2 4" xfId="2982"/>
    <cellStyle name="Standaard 10 7 2 2 5" xfId="5079"/>
    <cellStyle name="Standaard 10 7 2 3" xfId="1043"/>
    <cellStyle name="Standaard 10 7 2 3 2" xfId="2149"/>
    <cellStyle name="Standaard 10 7 2 3 2 2" xfId="4291"/>
    <cellStyle name="Standaard 10 7 2 3 3" xfId="3240"/>
    <cellStyle name="Standaard 10 7 2 3 4" xfId="5337"/>
    <cellStyle name="Standaard 10 7 2 4" xfId="1628"/>
    <cellStyle name="Standaard 10 7 2 4 2" xfId="3774"/>
    <cellStyle name="Standaard 10 7 2 5" xfId="2723"/>
    <cellStyle name="Standaard 10 7 2 6" xfId="4820"/>
    <cellStyle name="Standaard 10 7 3" xfId="657"/>
    <cellStyle name="Standaard 10 7 3 2" xfId="1176"/>
    <cellStyle name="Standaard 10 7 3 2 2" xfId="2282"/>
    <cellStyle name="Standaard 10 7 3 2 2 2" xfId="4424"/>
    <cellStyle name="Standaard 10 7 3 2 3" xfId="3373"/>
    <cellStyle name="Standaard 10 7 3 2 4" xfId="5470"/>
    <cellStyle name="Standaard 10 7 3 3" xfId="1765"/>
    <cellStyle name="Standaard 10 7 3 3 2" xfId="3907"/>
    <cellStyle name="Standaard 10 7 3 4" xfId="2856"/>
    <cellStyle name="Standaard 10 7 3 5" xfId="4953"/>
    <cellStyle name="Standaard 10 7 4" xfId="917"/>
    <cellStyle name="Standaard 10 7 4 2" xfId="2023"/>
    <cellStyle name="Standaard 10 7 4 2 2" xfId="4165"/>
    <cellStyle name="Standaard 10 7 4 3" xfId="3114"/>
    <cellStyle name="Standaard 10 7 4 4" xfId="5211"/>
    <cellStyle name="Standaard 10 7 5" xfId="1496"/>
    <cellStyle name="Standaard 10 7 5 2" xfId="3648"/>
    <cellStyle name="Standaard 10 7 6" xfId="2597"/>
    <cellStyle name="Standaard 10 7 7" xfId="4694"/>
    <cellStyle name="Standaard 10 8" xfId="601"/>
    <cellStyle name="Standaard 10 8 2" xfId="1120"/>
    <cellStyle name="Standaard 10 8 2 2" xfId="2226"/>
    <cellStyle name="Standaard 10 8 2 2 2" xfId="4368"/>
    <cellStyle name="Standaard 10 8 2 3" xfId="3317"/>
    <cellStyle name="Standaard 10 8 2 4" xfId="5414"/>
    <cellStyle name="Standaard 10 8 3" xfId="1709"/>
    <cellStyle name="Standaard 10 8 3 2" xfId="3851"/>
    <cellStyle name="Standaard 10 8 4" xfId="2800"/>
    <cellStyle name="Standaard 10 8 5" xfId="4897"/>
    <cellStyle name="Standaard 11" xfId="5"/>
    <cellStyle name="Standaard 11 2" xfId="6"/>
    <cellStyle name="Standaard 11 2 2" xfId="295"/>
    <cellStyle name="Standaard 11 2 3" xfId="298"/>
    <cellStyle name="Standaard 11 2 4" xfId="263"/>
    <cellStyle name="Standaard 11 2 5" xfId="335"/>
    <cellStyle name="Standaard 11 2 6" xfId="331"/>
    <cellStyle name="Standaard 11 3" xfId="7"/>
    <cellStyle name="Standaard 11 3 2" xfId="39"/>
    <cellStyle name="Standaard 11 4" xfId="38"/>
    <cellStyle name="Standaard 12" xfId="8"/>
    <cellStyle name="Standaard 12 2" xfId="9"/>
    <cellStyle name="Standaard 12 3" xfId="40"/>
    <cellStyle name="Standaard 13" xfId="10"/>
    <cellStyle name="Standaard 13 2" xfId="41"/>
    <cellStyle name="Standaard 14" xfId="11"/>
    <cellStyle name="Standaard 14 2" xfId="54"/>
    <cellStyle name="Standaard 14 2 10" xfId="1399"/>
    <cellStyle name="Standaard 14 2 10 2" xfId="2491"/>
    <cellStyle name="Standaard 14 2 10 2 2" xfId="4633"/>
    <cellStyle name="Standaard 14 2 10 3" xfId="3582"/>
    <cellStyle name="Standaard 14 2 10 4" xfId="5679"/>
    <cellStyle name="Standaard 14 2 11" xfId="1425"/>
    <cellStyle name="Standaard 14 2 11 2" xfId="3598"/>
    <cellStyle name="Standaard 14 2 12" xfId="2547"/>
    <cellStyle name="Standaard 14 2 13" xfId="4645"/>
    <cellStyle name="Standaard 14 2 2" xfId="62"/>
    <cellStyle name="Standaard 14 2 2 10" xfId="1430"/>
    <cellStyle name="Standaard 14 2 2 10 2" xfId="3603"/>
    <cellStyle name="Standaard 14 2 2 11" xfId="2552"/>
    <cellStyle name="Standaard 14 2 2 12" xfId="4650"/>
    <cellStyle name="Standaard 14 2 2 2" xfId="75"/>
    <cellStyle name="Standaard 14 2 2 2 2" xfId="320"/>
    <cellStyle name="Standaard 14 2 2 2 2 2" xfId="391"/>
    <cellStyle name="Standaard 14 2 2 2 2 2 2" xfId="542"/>
    <cellStyle name="Standaard 14 2 2 2 2 2 2 2" xfId="841"/>
    <cellStyle name="Standaard 14 2 2 2 2 2 2 2 2" xfId="1360"/>
    <cellStyle name="Standaard 14 2 2 2 2 2 2 2 2 2" xfId="2466"/>
    <cellStyle name="Standaard 14 2 2 2 2 2 2 2 2 2 2" xfId="4608"/>
    <cellStyle name="Standaard 14 2 2 2 2 2 2 2 2 3" xfId="3557"/>
    <cellStyle name="Standaard 14 2 2 2 2 2 2 2 2 4" xfId="5654"/>
    <cellStyle name="Standaard 14 2 2 2 2 2 2 2 3" xfId="1949"/>
    <cellStyle name="Standaard 14 2 2 2 2 2 2 2 3 2" xfId="4091"/>
    <cellStyle name="Standaard 14 2 2 2 2 2 2 2 4" xfId="3040"/>
    <cellStyle name="Standaard 14 2 2 2 2 2 2 2 5" xfId="5137"/>
    <cellStyle name="Standaard 14 2 2 2 2 2 2 3" xfId="1101"/>
    <cellStyle name="Standaard 14 2 2 2 2 2 2 3 2" xfId="2207"/>
    <cellStyle name="Standaard 14 2 2 2 2 2 2 3 2 2" xfId="4349"/>
    <cellStyle name="Standaard 14 2 2 2 2 2 2 3 3" xfId="3298"/>
    <cellStyle name="Standaard 14 2 2 2 2 2 2 3 4" xfId="5395"/>
    <cellStyle name="Standaard 14 2 2 2 2 2 2 4" xfId="1686"/>
    <cellStyle name="Standaard 14 2 2 2 2 2 2 4 2" xfId="3832"/>
    <cellStyle name="Standaard 14 2 2 2 2 2 2 5" xfId="2781"/>
    <cellStyle name="Standaard 14 2 2 2 2 2 2 6" xfId="4878"/>
    <cellStyle name="Standaard 14 2 2 2 2 2 3" xfId="715"/>
    <cellStyle name="Standaard 14 2 2 2 2 2 3 2" xfId="1234"/>
    <cellStyle name="Standaard 14 2 2 2 2 2 3 2 2" xfId="2340"/>
    <cellStyle name="Standaard 14 2 2 2 2 2 3 2 2 2" xfId="4482"/>
    <cellStyle name="Standaard 14 2 2 2 2 2 3 2 3" xfId="3431"/>
    <cellStyle name="Standaard 14 2 2 2 2 2 3 2 4" xfId="5528"/>
    <cellStyle name="Standaard 14 2 2 2 2 2 3 3" xfId="1823"/>
    <cellStyle name="Standaard 14 2 2 2 2 2 3 3 2" xfId="3965"/>
    <cellStyle name="Standaard 14 2 2 2 2 2 3 4" xfId="2914"/>
    <cellStyle name="Standaard 14 2 2 2 2 2 3 5" xfId="5011"/>
    <cellStyle name="Standaard 14 2 2 2 2 2 4" xfId="975"/>
    <cellStyle name="Standaard 14 2 2 2 2 2 4 2" xfId="2081"/>
    <cellStyle name="Standaard 14 2 2 2 2 2 4 2 2" xfId="4223"/>
    <cellStyle name="Standaard 14 2 2 2 2 2 4 3" xfId="3172"/>
    <cellStyle name="Standaard 14 2 2 2 2 2 4 4" xfId="5269"/>
    <cellStyle name="Standaard 14 2 2 2 2 2 5" xfId="1557"/>
    <cellStyle name="Standaard 14 2 2 2 2 2 5 2" xfId="3706"/>
    <cellStyle name="Standaard 14 2 2 2 2 2 6" xfId="2655"/>
    <cellStyle name="Standaard 14 2 2 2 2 2 7" xfId="4752"/>
    <cellStyle name="Standaard 14 2 2 2 2 3" xfId="481"/>
    <cellStyle name="Standaard 14 2 2 2 2 3 2" xfId="780"/>
    <cellStyle name="Standaard 14 2 2 2 2 3 2 2" xfId="1299"/>
    <cellStyle name="Standaard 14 2 2 2 2 3 2 2 2" xfId="2405"/>
    <cellStyle name="Standaard 14 2 2 2 2 3 2 2 2 2" xfId="4547"/>
    <cellStyle name="Standaard 14 2 2 2 2 3 2 2 3" xfId="3496"/>
    <cellStyle name="Standaard 14 2 2 2 2 3 2 2 4" xfId="5593"/>
    <cellStyle name="Standaard 14 2 2 2 2 3 2 3" xfId="1888"/>
    <cellStyle name="Standaard 14 2 2 2 2 3 2 3 2" xfId="4030"/>
    <cellStyle name="Standaard 14 2 2 2 2 3 2 4" xfId="2979"/>
    <cellStyle name="Standaard 14 2 2 2 2 3 2 5" xfId="5076"/>
    <cellStyle name="Standaard 14 2 2 2 2 3 3" xfId="1040"/>
    <cellStyle name="Standaard 14 2 2 2 2 3 3 2" xfId="2146"/>
    <cellStyle name="Standaard 14 2 2 2 2 3 3 2 2" xfId="4288"/>
    <cellStyle name="Standaard 14 2 2 2 2 3 3 3" xfId="3237"/>
    <cellStyle name="Standaard 14 2 2 2 2 3 3 4" xfId="5334"/>
    <cellStyle name="Standaard 14 2 2 2 2 3 4" xfId="1625"/>
    <cellStyle name="Standaard 14 2 2 2 2 3 4 2" xfId="3771"/>
    <cellStyle name="Standaard 14 2 2 2 2 3 5" xfId="2720"/>
    <cellStyle name="Standaard 14 2 2 2 2 3 6" xfId="4817"/>
    <cellStyle name="Standaard 14 2 2 2 2 4" xfId="654"/>
    <cellStyle name="Standaard 14 2 2 2 2 4 2" xfId="1173"/>
    <cellStyle name="Standaard 14 2 2 2 2 4 2 2" xfId="2279"/>
    <cellStyle name="Standaard 14 2 2 2 2 4 2 2 2" xfId="4421"/>
    <cellStyle name="Standaard 14 2 2 2 2 4 2 3" xfId="3370"/>
    <cellStyle name="Standaard 14 2 2 2 2 4 2 4" xfId="5467"/>
    <cellStyle name="Standaard 14 2 2 2 2 4 3" xfId="1762"/>
    <cellStyle name="Standaard 14 2 2 2 2 4 3 2" xfId="3904"/>
    <cellStyle name="Standaard 14 2 2 2 2 4 4" xfId="2853"/>
    <cellStyle name="Standaard 14 2 2 2 2 4 5" xfId="4950"/>
    <cellStyle name="Standaard 14 2 2 2 2 5" xfId="914"/>
    <cellStyle name="Standaard 14 2 2 2 2 5 2" xfId="2020"/>
    <cellStyle name="Standaard 14 2 2 2 2 5 2 2" xfId="4162"/>
    <cellStyle name="Standaard 14 2 2 2 2 5 3" xfId="3111"/>
    <cellStyle name="Standaard 14 2 2 2 2 5 4" xfId="5208"/>
    <cellStyle name="Standaard 14 2 2 2 2 6" xfId="1493"/>
    <cellStyle name="Standaard 14 2 2 2 2 6 2" xfId="3645"/>
    <cellStyle name="Standaard 14 2 2 2 2 7" xfId="2594"/>
    <cellStyle name="Standaard 14 2 2 2 2 8" xfId="4691"/>
    <cellStyle name="Standaard 14 2 2 2 3" xfId="359"/>
    <cellStyle name="Standaard 14 2 2 2 3 2" xfId="513"/>
    <cellStyle name="Standaard 14 2 2 2 3 2 2" xfId="812"/>
    <cellStyle name="Standaard 14 2 2 2 3 2 2 2" xfId="1331"/>
    <cellStyle name="Standaard 14 2 2 2 3 2 2 2 2" xfId="2437"/>
    <cellStyle name="Standaard 14 2 2 2 3 2 2 2 2 2" xfId="4579"/>
    <cellStyle name="Standaard 14 2 2 2 3 2 2 2 3" xfId="3528"/>
    <cellStyle name="Standaard 14 2 2 2 3 2 2 2 4" xfId="5625"/>
    <cellStyle name="Standaard 14 2 2 2 3 2 2 3" xfId="1920"/>
    <cellStyle name="Standaard 14 2 2 2 3 2 2 3 2" xfId="4062"/>
    <cellStyle name="Standaard 14 2 2 2 3 2 2 4" xfId="3011"/>
    <cellStyle name="Standaard 14 2 2 2 3 2 2 5" xfId="5108"/>
    <cellStyle name="Standaard 14 2 2 2 3 2 3" xfId="1072"/>
    <cellStyle name="Standaard 14 2 2 2 3 2 3 2" xfId="2178"/>
    <cellStyle name="Standaard 14 2 2 2 3 2 3 2 2" xfId="4320"/>
    <cellStyle name="Standaard 14 2 2 2 3 2 3 3" xfId="3269"/>
    <cellStyle name="Standaard 14 2 2 2 3 2 3 4" xfId="5366"/>
    <cellStyle name="Standaard 14 2 2 2 3 2 4" xfId="1657"/>
    <cellStyle name="Standaard 14 2 2 2 3 2 4 2" xfId="3803"/>
    <cellStyle name="Standaard 14 2 2 2 3 2 5" xfId="2752"/>
    <cellStyle name="Standaard 14 2 2 2 3 2 6" xfId="4849"/>
    <cellStyle name="Standaard 14 2 2 2 3 3" xfId="686"/>
    <cellStyle name="Standaard 14 2 2 2 3 3 2" xfId="1205"/>
    <cellStyle name="Standaard 14 2 2 2 3 3 2 2" xfId="2311"/>
    <cellStyle name="Standaard 14 2 2 2 3 3 2 2 2" xfId="4453"/>
    <cellStyle name="Standaard 14 2 2 2 3 3 2 3" xfId="3402"/>
    <cellStyle name="Standaard 14 2 2 2 3 3 2 4" xfId="5499"/>
    <cellStyle name="Standaard 14 2 2 2 3 3 3" xfId="1794"/>
    <cellStyle name="Standaard 14 2 2 2 3 3 3 2" xfId="3936"/>
    <cellStyle name="Standaard 14 2 2 2 3 3 4" xfId="2885"/>
    <cellStyle name="Standaard 14 2 2 2 3 3 5" xfId="4982"/>
    <cellStyle name="Standaard 14 2 2 2 3 4" xfId="946"/>
    <cellStyle name="Standaard 14 2 2 2 3 4 2" xfId="2052"/>
    <cellStyle name="Standaard 14 2 2 2 3 4 2 2" xfId="4194"/>
    <cellStyle name="Standaard 14 2 2 2 3 4 3" xfId="3143"/>
    <cellStyle name="Standaard 14 2 2 2 3 4 4" xfId="5240"/>
    <cellStyle name="Standaard 14 2 2 2 3 5" xfId="1527"/>
    <cellStyle name="Standaard 14 2 2 2 3 5 2" xfId="3677"/>
    <cellStyle name="Standaard 14 2 2 2 3 6" xfId="2626"/>
    <cellStyle name="Standaard 14 2 2 2 3 7" xfId="4723"/>
    <cellStyle name="Standaard 14 2 2 2 4" xfId="444"/>
    <cellStyle name="Standaard 14 2 2 2 4 2" xfId="751"/>
    <cellStyle name="Standaard 14 2 2 2 4 2 2" xfId="1270"/>
    <cellStyle name="Standaard 14 2 2 2 4 2 2 2" xfId="2376"/>
    <cellStyle name="Standaard 14 2 2 2 4 2 2 2 2" xfId="4518"/>
    <cellStyle name="Standaard 14 2 2 2 4 2 2 3" xfId="3467"/>
    <cellStyle name="Standaard 14 2 2 2 4 2 2 4" xfId="5564"/>
    <cellStyle name="Standaard 14 2 2 2 4 2 3" xfId="1859"/>
    <cellStyle name="Standaard 14 2 2 2 4 2 3 2" xfId="4001"/>
    <cellStyle name="Standaard 14 2 2 2 4 2 4" xfId="2950"/>
    <cellStyle name="Standaard 14 2 2 2 4 2 5" xfId="5047"/>
    <cellStyle name="Standaard 14 2 2 2 4 3" xfId="1011"/>
    <cellStyle name="Standaard 14 2 2 2 4 3 2" xfId="2117"/>
    <cellStyle name="Standaard 14 2 2 2 4 3 2 2" xfId="4259"/>
    <cellStyle name="Standaard 14 2 2 2 4 3 3" xfId="3208"/>
    <cellStyle name="Standaard 14 2 2 2 4 3 4" xfId="5305"/>
    <cellStyle name="Standaard 14 2 2 2 4 4" xfId="1594"/>
    <cellStyle name="Standaard 14 2 2 2 4 4 2" xfId="3742"/>
    <cellStyle name="Standaard 14 2 2 2 4 5" xfId="2691"/>
    <cellStyle name="Standaard 14 2 2 2 4 6" xfId="4788"/>
    <cellStyle name="Standaard 14 2 2 2 5" xfId="625"/>
    <cellStyle name="Standaard 14 2 2 2 5 2" xfId="1144"/>
    <cellStyle name="Standaard 14 2 2 2 5 2 2" xfId="2250"/>
    <cellStyle name="Standaard 14 2 2 2 5 2 2 2" xfId="4392"/>
    <cellStyle name="Standaard 14 2 2 2 5 2 3" xfId="3341"/>
    <cellStyle name="Standaard 14 2 2 2 5 2 4" xfId="5438"/>
    <cellStyle name="Standaard 14 2 2 2 5 3" xfId="1733"/>
    <cellStyle name="Standaard 14 2 2 2 5 3 2" xfId="3875"/>
    <cellStyle name="Standaard 14 2 2 2 5 4" xfId="2824"/>
    <cellStyle name="Standaard 14 2 2 2 5 5" xfId="4921"/>
    <cellStyle name="Standaard 14 2 2 2 6" xfId="885"/>
    <cellStyle name="Standaard 14 2 2 2 6 2" xfId="1991"/>
    <cellStyle name="Standaard 14 2 2 2 6 2 2" xfId="4133"/>
    <cellStyle name="Standaard 14 2 2 2 6 3" xfId="3082"/>
    <cellStyle name="Standaard 14 2 2 2 6 4" xfId="5179"/>
    <cellStyle name="Standaard 14 2 2 2 7" xfId="1443"/>
    <cellStyle name="Standaard 14 2 2 2 7 2" xfId="3616"/>
    <cellStyle name="Standaard 14 2 2 2 8" xfId="2565"/>
    <cellStyle name="Standaard 14 2 2 2 9" xfId="4662"/>
    <cellStyle name="Standaard 14 2 2 3" xfId="308"/>
    <cellStyle name="Standaard 14 2 2 3 2" xfId="380"/>
    <cellStyle name="Standaard 14 2 2 3 2 2" xfId="531"/>
    <cellStyle name="Standaard 14 2 2 3 2 2 2" xfId="830"/>
    <cellStyle name="Standaard 14 2 2 3 2 2 2 2" xfId="1349"/>
    <cellStyle name="Standaard 14 2 2 3 2 2 2 2 2" xfId="2455"/>
    <cellStyle name="Standaard 14 2 2 3 2 2 2 2 2 2" xfId="4597"/>
    <cellStyle name="Standaard 14 2 2 3 2 2 2 2 3" xfId="3546"/>
    <cellStyle name="Standaard 14 2 2 3 2 2 2 2 4" xfId="5643"/>
    <cellStyle name="Standaard 14 2 2 3 2 2 2 3" xfId="1938"/>
    <cellStyle name="Standaard 14 2 2 3 2 2 2 3 2" xfId="4080"/>
    <cellStyle name="Standaard 14 2 2 3 2 2 2 4" xfId="3029"/>
    <cellStyle name="Standaard 14 2 2 3 2 2 2 5" xfId="5126"/>
    <cellStyle name="Standaard 14 2 2 3 2 2 3" xfId="1090"/>
    <cellStyle name="Standaard 14 2 2 3 2 2 3 2" xfId="2196"/>
    <cellStyle name="Standaard 14 2 2 3 2 2 3 2 2" xfId="4338"/>
    <cellStyle name="Standaard 14 2 2 3 2 2 3 3" xfId="3287"/>
    <cellStyle name="Standaard 14 2 2 3 2 2 3 4" xfId="5384"/>
    <cellStyle name="Standaard 14 2 2 3 2 2 4" xfId="1675"/>
    <cellStyle name="Standaard 14 2 2 3 2 2 4 2" xfId="3821"/>
    <cellStyle name="Standaard 14 2 2 3 2 2 5" xfId="2770"/>
    <cellStyle name="Standaard 14 2 2 3 2 2 6" xfId="4867"/>
    <cellStyle name="Standaard 14 2 2 3 2 3" xfId="704"/>
    <cellStyle name="Standaard 14 2 2 3 2 3 2" xfId="1223"/>
    <cellStyle name="Standaard 14 2 2 3 2 3 2 2" xfId="2329"/>
    <cellStyle name="Standaard 14 2 2 3 2 3 2 2 2" xfId="4471"/>
    <cellStyle name="Standaard 14 2 2 3 2 3 2 3" xfId="3420"/>
    <cellStyle name="Standaard 14 2 2 3 2 3 2 4" xfId="5517"/>
    <cellStyle name="Standaard 14 2 2 3 2 3 3" xfId="1812"/>
    <cellStyle name="Standaard 14 2 2 3 2 3 3 2" xfId="3954"/>
    <cellStyle name="Standaard 14 2 2 3 2 3 4" xfId="2903"/>
    <cellStyle name="Standaard 14 2 2 3 2 3 5" xfId="5000"/>
    <cellStyle name="Standaard 14 2 2 3 2 4" xfId="964"/>
    <cellStyle name="Standaard 14 2 2 3 2 4 2" xfId="2070"/>
    <cellStyle name="Standaard 14 2 2 3 2 4 2 2" xfId="4212"/>
    <cellStyle name="Standaard 14 2 2 3 2 4 3" xfId="3161"/>
    <cellStyle name="Standaard 14 2 2 3 2 4 4" xfId="5258"/>
    <cellStyle name="Standaard 14 2 2 3 2 5" xfId="1546"/>
    <cellStyle name="Standaard 14 2 2 3 2 5 2" xfId="3695"/>
    <cellStyle name="Standaard 14 2 2 3 2 6" xfId="2644"/>
    <cellStyle name="Standaard 14 2 2 3 2 7" xfId="4741"/>
    <cellStyle name="Standaard 14 2 2 3 3" xfId="470"/>
    <cellStyle name="Standaard 14 2 2 3 3 2" xfId="769"/>
    <cellStyle name="Standaard 14 2 2 3 3 2 2" xfId="1288"/>
    <cellStyle name="Standaard 14 2 2 3 3 2 2 2" xfId="2394"/>
    <cellStyle name="Standaard 14 2 2 3 3 2 2 2 2" xfId="4536"/>
    <cellStyle name="Standaard 14 2 2 3 3 2 2 3" xfId="3485"/>
    <cellStyle name="Standaard 14 2 2 3 3 2 2 4" xfId="5582"/>
    <cellStyle name="Standaard 14 2 2 3 3 2 3" xfId="1877"/>
    <cellStyle name="Standaard 14 2 2 3 3 2 3 2" xfId="4019"/>
    <cellStyle name="Standaard 14 2 2 3 3 2 4" xfId="2968"/>
    <cellStyle name="Standaard 14 2 2 3 3 2 5" xfId="5065"/>
    <cellStyle name="Standaard 14 2 2 3 3 3" xfId="1029"/>
    <cellStyle name="Standaard 14 2 2 3 3 3 2" xfId="2135"/>
    <cellStyle name="Standaard 14 2 2 3 3 3 2 2" xfId="4277"/>
    <cellStyle name="Standaard 14 2 2 3 3 3 3" xfId="3226"/>
    <cellStyle name="Standaard 14 2 2 3 3 3 4" xfId="5323"/>
    <cellStyle name="Standaard 14 2 2 3 3 4" xfId="1614"/>
    <cellStyle name="Standaard 14 2 2 3 3 4 2" xfId="3760"/>
    <cellStyle name="Standaard 14 2 2 3 3 5" xfId="2709"/>
    <cellStyle name="Standaard 14 2 2 3 3 6" xfId="4806"/>
    <cellStyle name="Standaard 14 2 2 3 4" xfId="643"/>
    <cellStyle name="Standaard 14 2 2 3 4 2" xfId="1162"/>
    <cellStyle name="Standaard 14 2 2 3 4 2 2" xfId="2268"/>
    <cellStyle name="Standaard 14 2 2 3 4 2 2 2" xfId="4410"/>
    <cellStyle name="Standaard 14 2 2 3 4 2 3" xfId="3359"/>
    <cellStyle name="Standaard 14 2 2 3 4 2 4" xfId="5456"/>
    <cellStyle name="Standaard 14 2 2 3 4 3" xfId="1751"/>
    <cellStyle name="Standaard 14 2 2 3 4 3 2" xfId="3893"/>
    <cellStyle name="Standaard 14 2 2 3 4 4" xfId="2842"/>
    <cellStyle name="Standaard 14 2 2 3 4 5" xfId="4939"/>
    <cellStyle name="Standaard 14 2 2 3 5" xfId="903"/>
    <cellStyle name="Standaard 14 2 2 3 5 2" xfId="2009"/>
    <cellStyle name="Standaard 14 2 2 3 5 2 2" xfId="4151"/>
    <cellStyle name="Standaard 14 2 2 3 5 3" xfId="3100"/>
    <cellStyle name="Standaard 14 2 2 3 5 4" xfId="5197"/>
    <cellStyle name="Standaard 14 2 2 3 6" xfId="1482"/>
    <cellStyle name="Standaard 14 2 2 3 6 2" xfId="3634"/>
    <cellStyle name="Standaard 14 2 2 3 7" xfId="2583"/>
    <cellStyle name="Standaard 14 2 2 3 8" xfId="4680"/>
    <cellStyle name="Standaard 14 2 2 4" xfId="346"/>
    <cellStyle name="Standaard 14 2 2 4 2" xfId="500"/>
    <cellStyle name="Standaard 14 2 2 4 2 2" xfId="799"/>
    <cellStyle name="Standaard 14 2 2 4 2 2 2" xfId="1318"/>
    <cellStyle name="Standaard 14 2 2 4 2 2 2 2" xfId="2424"/>
    <cellStyle name="Standaard 14 2 2 4 2 2 2 2 2" xfId="4566"/>
    <cellStyle name="Standaard 14 2 2 4 2 2 2 3" xfId="3515"/>
    <cellStyle name="Standaard 14 2 2 4 2 2 2 4" xfId="5612"/>
    <cellStyle name="Standaard 14 2 2 4 2 2 3" xfId="1907"/>
    <cellStyle name="Standaard 14 2 2 4 2 2 3 2" xfId="4049"/>
    <cellStyle name="Standaard 14 2 2 4 2 2 4" xfId="2998"/>
    <cellStyle name="Standaard 14 2 2 4 2 2 5" xfId="5095"/>
    <cellStyle name="Standaard 14 2 2 4 2 3" xfId="1059"/>
    <cellStyle name="Standaard 14 2 2 4 2 3 2" xfId="2165"/>
    <cellStyle name="Standaard 14 2 2 4 2 3 2 2" xfId="4307"/>
    <cellStyle name="Standaard 14 2 2 4 2 3 3" xfId="3256"/>
    <cellStyle name="Standaard 14 2 2 4 2 3 4" xfId="5353"/>
    <cellStyle name="Standaard 14 2 2 4 2 4" xfId="1644"/>
    <cellStyle name="Standaard 14 2 2 4 2 4 2" xfId="3790"/>
    <cellStyle name="Standaard 14 2 2 4 2 5" xfId="2739"/>
    <cellStyle name="Standaard 14 2 2 4 2 6" xfId="4836"/>
    <cellStyle name="Standaard 14 2 2 4 3" xfId="673"/>
    <cellStyle name="Standaard 14 2 2 4 3 2" xfId="1192"/>
    <cellStyle name="Standaard 14 2 2 4 3 2 2" xfId="2298"/>
    <cellStyle name="Standaard 14 2 2 4 3 2 2 2" xfId="4440"/>
    <cellStyle name="Standaard 14 2 2 4 3 2 3" xfId="3389"/>
    <cellStyle name="Standaard 14 2 2 4 3 2 4" xfId="5486"/>
    <cellStyle name="Standaard 14 2 2 4 3 3" xfId="1781"/>
    <cellStyle name="Standaard 14 2 2 4 3 3 2" xfId="3923"/>
    <cellStyle name="Standaard 14 2 2 4 3 4" xfId="2872"/>
    <cellStyle name="Standaard 14 2 2 4 3 5" xfId="4969"/>
    <cellStyle name="Standaard 14 2 2 4 4" xfId="933"/>
    <cellStyle name="Standaard 14 2 2 4 4 2" xfId="2039"/>
    <cellStyle name="Standaard 14 2 2 4 4 2 2" xfId="4181"/>
    <cellStyle name="Standaard 14 2 2 4 4 3" xfId="3130"/>
    <cellStyle name="Standaard 14 2 2 4 4 4" xfId="5227"/>
    <cellStyle name="Standaard 14 2 2 4 5" xfId="1514"/>
    <cellStyle name="Standaard 14 2 2 4 5 2" xfId="3664"/>
    <cellStyle name="Standaard 14 2 2 4 6" xfId="2613"/>
    <cellStyle name="Standaard 14 2 2 4 7" xfId="4710"/>
    <cellStyle name="Standaard 14 2 2 5" xfId="414"/>
    <cellStyle name="Standaard 14 2 2 5 2" xfId="727"/>
    <cellStyle name="Standaard 14 2 2 5 2 2" xfId="1246"/>
    <cellStyle name="Standaard 14 2 2 5 2 2 2" xfId="2352"/>
    <cellStyle name="Standaard 14 2 2 5 2 2 2 2" xfId="4494"/>
    <cellStyle name="Standaard 14 2 2 5 2 2 3" xfId="3443"/>
    <cellStyle name="Standaard 14 2 2 5 2 2 4" xfId="5540"/>
    <cellStyle name="Standaard 14 2 2 5 2 3" xfId="1835"/>
    <cellStyle name="Standaard 14 2 2 5 2 3 2" xfId="3977"/>
    <cellStyle name="Standaard 14 2 2 5 2 4" xfId="2926"/>
    <cellStyle name="Standaard 14 2 2 5 2 5" xfId="5023"/>
    <cellStyle name="Standaard 14 2 2 5 3" xfId="987"/>
    <cellStyle name="Standaard 14 2 2 5 3 2" xfId="2093"/>
    <cellStyle name="Standaard 14 2 2 5 3 2 2" xfId="4235"/>
    <cellStyle name="Standaard 14 2 2 5 3 3" xfId="3184"/>
    <cellStyle name="Standaard 14 2 2 5 3 4" xfId="5281"/>
    <cellStyle name="Standaard 14 2 2 5 4" xfId="1570"/>
    <cellStyle name="Standaard 14 2 2 5 4 2" xfId="3718"/>
    <cellStyle name="Standaard 14 2 2 5 5" xfId="2667"/>
    <cellStyle name="Standaard 14 2 2 5 6" xfId="4764"/>
    <cellStyle name="Standaard 14 2 2 6" xfId="426"/>
    <cellStyle name="Standaard 14 2 2 6 2" xfId="739"/>
    <cellStyle name="Standaard 14 2 2 6 2 2" xfId="1258"/>
    <cellStyle name="Standaard 14 2 2 6 2 2 2" xfId="2364"/>
    <cellStyle name="Standaard 14 2 2 6 2 2 2 2" xfId="4506"/>
    <cellStyle name="Standaard 14 2 2 6 2 2 3" xfId="3455"/>
    <cellStyle name="Standaard 14 2 2 6 2 2 4" xfId="5552"/>
    <cellStyle name="Standaard 14 2 2 6 2 3" xfId="1847"/>
    <cellStyle name="Standaard 14 2 2 6 2 3 2" xfId="3989"/>
    <cellStyle name="Standaard 14 2 2 6 2 4" xfId="2938"/>
    <cellStyle name="Standaard 14 2 2 6 2 5" xfId="5035"/>
    <cellStyle name="Standaard 14 2 2 6 3" xfId="999"/>
    <cellStyle name="Standaard 14 2 2 6 3 2" xfId="2105"/>
    <cellStyle name="Standaard 14 2 2 6 3 2 2" xfId="4247"/>
    <cellStyle name="Standaard 14 2 2 6 3 3" xfId="3196"/>
    <cellStyle name="Standaard 14 2 2 6 3 4" xfId="5293"/>
    <cellStyle name="Standaard 14 2 2 6 4" xfId="1582"/>
    <cellStyle name="Standaard 14 2 2 6 4 2" xfId="3730"/>
    <cellStyle name="Standaard 14 2 2 6 5" xfId="2679"/>
    <cellStyle name="Standaard 14 2 2 6 6" xfId="4776"/>
    <cellStyle name="Standaard 14 2 2 7" xfId="612"/>
    <cellStyle name="Standaard 14 2 2 7 2" xfId="1131"/>
    <cellStyle name="Standaard 14 2 2 7 2 2" xfId="2237"/>
    <cellStyle name="Standaard 14 2 2 7 2 2 2" xfId="4379"/>
    <cellStyle name="Standaard 14 2 2 7 2 3" xfId="3328"/>
    <cellStyle name="Standaard 14 2 2 7 2 4" xfId="5425"/>
    <cellStyle name="Standaard 14 2 2 7 3" xfId="1720"/>
    <cellStyle name="Standaard 14 2 2 7 3 2" xfId="3862"/>
    <cellStyle name="Standaard 14 2 2 7 4" xfId="2811"/>
    <cellStyle name="Standaard 14 2 2 7 5" xfId="4908"/>
    <cellStyle name="Standaard 14 2 2 8" xfId="871"/>
    <cellStyle name="Standaard 14 2 2 8 2" xfId="1979"/>
    <cellStyle name="Standaard 14 2 2 8 2 2" xfId="4121"/>
    <cellStyle name="Standaard 14 2 2 8 3" xfId="3070"/>
    <cellStyle name="Standaard 14 2 2 8 4" xfId="5167"/>
    <cellStyle name="Standaard 14 2 2 9" xfId="1404"/>
    <cellStyle name="Standaard 14 2 2 9 2" xfId="2496"/>
    <cellStyle name="Standaard 14 2 2 9 2 2" xfId="4638"/>
    <cellStyle name="Standaard 14 2 2 9 3" xfId="3587"/>
    <cellStyle name="Standaard 14 2 2 9 4" xfId="5684"/>
    <cellStyle name="Standaard 14 2 3" xfId="70"/>
    <cellStyle name="Standaard 14 2 3 2" xfId="315"/>
    <cellStyle name="Standaard 14 2 3 2 2" xfId="386"/>
    <cellStyle name="Standaard 14 2 3 2 2 2" xfId="537"/>
    <cellStyle name="Standaard 14 2 3 2 2 2 2" xfId="836"/>
    <cellStyle name="Standaard 14 2 3 2 2 2 2 2" xfId="1355"/>
    <cellStyle name="Standaard 14 2 3 2 2 2 2 2 2" xfId="2461"/>
    <cellStyle name="Standaard 14 2 3 2 2 2 2 2 2 2" xfId="4603"/>
    <cellStyle name="Standaard 14 2 3 2 2 2 2 2 3" xfId="3552"/>
    <cellStyle name="Standaard 14 2 3 2 2 2 2 2 4" xfId="5649"/>
    <cellStyle name="Standaard 14 2 3 2 2 2 2 3" xfId="1944"/>
    <cellStyle name="Standaard 14 2 3 2 2 2 2 3 2" xfId="4086"/>
    <cellStyle name="Standaard 14 2 3 2 2 2 2 4" xfId="3035"/>
    <cellStyle name="Standaard 14 2 3 2 2 2 2 5" xfId="5132"/>
    <cellStyle name="Standaard 14 2 3 2 2 2 3" xfId="1096"/>
    <cellStyle name="Standaard 14 2 3 2 2 2 3 2" xfId="2202"/>
    <cellStyle name="Standaard 14 2 3 2 2 2 3 2 2" xfId="4344"/>
    <cellStyle name="Standaard 14 2 3 2 2 2 3 3" xfId="3293"/>
    <cellStyle name="Standaard 14 2 3 2 2 2 3 4" xfId="5390"/>
    <cellStyle name="Standaard 14 2 3 2 2 2 4" xfId="1681"/>
    <cellStyle name="Standaard 14 2 3 2 2 2 4 2" xfId="3827"/>
    <cellStyle name="Standaard 14 2 3 2 2 2 5" xfId="2776"/>
    <cellStyle name="Standaard 14 2 3 2 2 2 6" xfId="4873"/>
    <cellStyle name="Standaard 14 2 3 2 2 3" xfId="710"/>
    <cellStyle name="Standaard 14 2 3 2 2 3 2" xfId="1229"/>
    <cellStyle name="Standaard 14 2 3 2 2 3 2 2" xfId="2335"/>
    <cellStyle name="Standaard 14 2 3 2 2 3 2 2 2" xfId="4477"/>
    <cellStyle name="Standaard 14 2 3 2 2 3 2 3" xfId="3426"/>
    <cellStyle name="Standaard 14 2 3 2 2 3 2 4" xfId="5523"/>
    <cellStyle name="Standaard 14 2 3 2 2 3 3" xfId="1818"/>
    <cellStyle name="Standaard 14 2 3 2 2 3 3 2" xfId="3960"/>
    <cellStyle name="Standaard 14 2 3 2 2 3 4" xfId="2909"/>
    <cellStyle name="Standaard 14 2 3 2 2 3 5" xfId="5006"/>
    <cellStyle name="Standaard 14 2 3 2 2 4" xfId="970"/>
    <cellStyle name="Standaard 14 2 3 2 2 4 2" xfId="2076"/>
    <cellStyle name="Standaard 14 2 3 2 2 4 2 2" xfId="4218"/>
    <cellStyle name="Standaard 14 2 3 2 2 4 3" xfId="3167"/>
    <cellStyle name="Standaard 14 2 3 2 2 4 4" xfId="5264"/>
    <cellStyle name="Standaard 14 2 3 2 2 5" xfId="1552"/>
    <cellStyle name="Standaard 14 2 3 2 2 5 2" xfId="3701"/>
    <cellStyle name="Standaard 14 2 3 2 2 6" xfId="2650"/>
    <cellStyle name="Standaard 14 2 3 2 2 7" xfId="4747"/>
    <cellStyle name="Standaard 14 2 3 2 3" xfId="476"/>
    <cellStyle name="Standaard 14 2 3 2 3 2" xfId="775"/>
    <cellStyle name="Standaard 14 2 3 2 3 2 2" xfId="1294"/>
    <cellStyle name="Standaard 14 2 3 2 3 2 2 2" xfId="2400"/>
    <cellStyle name="Standaard 14 2 3 2 3 2 2 2 2" xfId="4542"/>
    <cellStyle name="Standaard 14 2 3 2 3 2 2 3" xfId="3491"/>
    <cellStyle name="Standaard 14 2 3 2 3 2 2 4" xfId="5588"/>
    <cellStyle name="Standaard 14 2 3 2 3 2 3" xfId="1883"/>
    <cellStyle name="Standaard 14 2 3 2 3 2 3 2" xfId="4025"/>
    <cellStyle name="Standaard 14 2 3 2 3 2 4" xfId="2974"/>
    <cellStyle name="Standaard 14 2 3 2 3 2 5" xfId="5071"/>
    <cellStyle name="Standaard 14 2 3 2 3 3" xfId="1035"/>
    <cellStyle name="Standaard 14 2 3 2 3 3 2" xfId="2141"/>
    <cellStyle name="Standaard 14 2 3 2 3 3 2 2" xfId="4283"/>
    <cellStyle name="Standaard 14 2 3 2 3 3 3" xfId="3232"/>
    <cellStyle name="Standaard 14 2 3 2 3 3 4" xfId="5329"/>
    <cellStyle name="Standaard 14 2 3 2 3 4" xfId="1620"/>
    <cellStyle name="Standaard 14 2 3 2 3 4 2" xfId="3766"/>
    <cellStyle name="Standaard 14 2 3 2 3 5" xfId="2715"/>
    <cellStyle name="Standaard 14 2 3 2 3 6" xfId="4812"/>
    <cellStyle name="Standaard 14 2 3 2 4" xfId="649"/>
    <cellStyle name="Standaard 14 2 3 2 4 2" xfId="1168"/>
    <cellStyle name="Standaard 14 2 3 2 4 2 2" xfId="2274"/>
    <cellStyle name="Standaard 14 2 3 2 4 2 2 2" xfId="4416"/>
    <cellStyle name="Standaard 14 2 3 2 4 2 3" xfId="3365"/>
    <cellStyle name="Standaard 14 2 3 2 4 2 4" xfId="5462"/>
    <cellStyle name="Standaard 14 2 3 2 4 3" xfId="1757"/>
    <cellStyle name="Standaard 14 2 3 2 4 3 2" xfId="3899"/>
    <cellStyle name="Standaard 14 2 3 2 4 4" xfId="2848"/>
    <cellStyle name="Standaard 14 2 3 2 4 5" xfId="4945"/>
    <cellStyle name="Standaard 14 2 3 2 5" xfId="909"/>
    <cellStyle name="Standaard 14 2 3 2 5 2" xfId="2015"/>
    <cellStyle name="Standaard 14 2 3 2 5 2 2" xfId="4157"/>
    <cellStyle name="Standaard 14 2 3 2 5 3" xfId="3106"/>
    <cellStyle name="Standaard 14 2 3 2 5 4" xfId="5203"/>
    <cellStyle name="Standaard 14 2 3 2 6" xfId="1488"/>
    <cellStyle name="Standaard 14 2 3 2 6 2" xfId="3640"/>
    <cellStyle name="Standaard 14 2 3 2 7" xfId="2589"/>
    <cellStyle name="Standaard 14 2 3 2 8" xfId="4686"/>
    <cellStyle name="Standaard 14 2 3 3" xfId="354"/>
    <cellStyle name="Standaard 14 2 3 3 2" xfId="508"/>
    <cellStyle name="Standaard 14 2 3 3 2 2" xfId="807"/>
    <cellStyle name="Standaard 14 2 3 3 2 2 2" xfId="1326"/>
    <cellStyle name="Standaard 14 2 3 3 2 2 2 2" xfId="2432"/>
    <cellStyle name="Standaard 14 2 3 3 2 2 2 2 2" xfId="4574"/>
    <cellStyle name="Standaard 14 2 3 3 2 2 2 3" xfId="3523"/>
    <cellStyle name="Standaard 14 2 3 3 2 2 2 4" xfId="5620"/>
    <cellStyle name="Standaard 14 2 3 3 2 2 3" xfId="1915"/>
    <cellStyle name="Standaard 14 2 3 3 2 2 3 2" xfId="4057"/>
    <cellStyle name="Standaard 14 2 3 3 2 2 4" xfId="3006"/>
    <cellStyle name="Standaard 14 2 3 3 2 2 5" xfId="5103"/>
    <cellStyle name="Standaard 14 2 3 3 2 3" xfId="1067"/>
    <cellStyle name="Standaard 14 2 3 3 2 3 2" xfId="2173"/>
    <cellStyle name="Standaard 14 2 3 3 2 3 2 2" xfId="4315"/>
    <cellStyle name="Standaard 14 2 3 3 2 3 3" xfId="3264"/>
    <cellStyle name="Standaard 14 2 3 3 2 3 4" xfId="5361"/>
    <cellStyle name="Standaard 14 2 3 3 2 4" xfId="1652"/>
    <cellStyle name="Standaard 14 2 3 3 2 4 2" xfId="3798"/>
    <cellStyle name="Standaard 14 2 3 3 2 5" xfId="2747"/>
    <cellStyle name="Standaard 14 2 3 3 2 6" xfId="4844"/>
    <cellStyle name="Standaard 14 2 3 3 3" xfId="681"/>
    <cellStyle name="Standaard 14 2 3 3 3 2" xfId="1200"/>
    <cellStyle name="Standaard 14 2 3 3 3 2 2" xfId="2306"/>
    <cellStyle name="Standaard 14 2 3 3 3 2 2 2" xfId="4448"/>
    <cellStyle name="Standaard 14 2 3 3 3 2 3" xfId="3397"/>
    <cellStyle name="Standaard 14 2 3 3 3 2 4" xfId="5494"/>
    <cellStyle name="Standaard 14 2 3 3 3 3" xfId="1789"/>
    <cellStyle name="Standaard 14 2 3 3 3 3 2" xfId="3931"/>
    <cellStyle name="Standaard 14 2 3 3 3 4" xfId="2880"/>
    <cellStyle name="Standaard 14 2 3 3 3 5" xfId="4977"/>
    <cellStyle name="Standaard 14 2 3 3 4" xfId="941"/>
    <cellStyle name="Standaard 14 2 3 3 4 2" xfId="2047"/>
    <cellStyle name="Standaard 14 2 3 3 4 2 2" xfId="4189"/>
    <cellStyle name="Standaard 14 2 3 3 4 3" xfId="3138"/>
    <cellStyle name="Standaard 14 2 3 3 4 4" xfId="5235"/>
    <cellStyle name="Standaard 14 2 3 3 5" xfId="1522"/>
    <cellStyle name="Standaard 14 2 3 3 5 2" xfId="3672"/>
    <cellStyle name="Standaard 14 2 3 3 6" xfId="2621"/>
    <cellStyle name="Standaard 14 2 3 3 7" xfId="4718"/>
    <cellStyle name="Standaard 14 2 3 4" xfId="439"/>
    <cellStyle name="Standaard 14 2 3 4 2" xfId="746"/>
    <cellStyle name="Standaard 14 2 3 4 2 2" xfId="1265"/>
    <cellStyle name="Standaard 14 2 3 4 2 2 2" xfId="2371"/>
    <cellStyle name="Standaard 14 2 3 4 2 2 2 2" xfId="4513"/>
    <cellStyle name="Standaard 14 2 3 4 2 2 3" xfId="3462"/>
    <cellStyle name="Standaard 14 2 3 4 2 2 4" xfId="5559"/>
    <cellStyle name="Standaard 14 2 3 4 2 3" xfId="1854"/>
    <cellStyle name="Standaard 14 2 3 4 2 3 2" xfId="3996"/>
    <cellStyle name="Standaard 14 2 3 4 2 4" xfId="2945"/>
    <cellStyle name="Standaard 14 2 3 4 2 5" xfId="5042"/>
    <cellStyle name="Standaard 14 2 3 4 3" xfId="1006"/>
    <cellStyle name="Standaard 14 2 3 4 3 2" xfId="2112"/>
    <cellStyle name="Standaard 14 2 3 4 3 2 2" xfId="4254"/>
    <cellStyle name="Standaard 14 2 3 4 3 3" xfId="3203"/>
    <cellStyle name="Standaard 14 2 3 4 3 4" xfId="5300"/>
    <cellStyle name="Standaard 14 2 3 4 4" xfId="1589"/>
    <cellStyle name="Standaard 14 2 3 4 4 2" xfId="3737"/>
    <cellStyle name="Standaard 14 2 3 4 5" xfId="2686"/>
    <cellStyle name="Standaard 14 2 3 4 6" xfId="4783"/>
    <cellStyle name="Standaard 14 2 3 5" xfId="620"/>
    <cellStyle name="Standaard 14 2 3 5 2" xfId="1139"/>
    <cellStyle name="Standaard 14 2 3 5 2 2" xfId="2245"/>
    <cellStyle name="Standaard 14 2 3 5 2 2 2" xfId="4387"/>
    <cellStyle name="Standaard 14 2 3 5 2 3" xfId="3336"/>
    <cellStyle name="Standaard 14 2 3 5 2 4" xfId="5433"/>
    <cellStyle name="Standaard 14 2 3 5 3" xfId="1728"/>
    <cellStyle name="Standaard 14 2 3 5 3 2" xfId="3870"/>
    <cellStyle name="Standaard 14 2 3 5 4" xfId="2819"/>
    <cellStyle name="Standaard 14 2 3 5 5" xfId="4916"/>
    <cellStyle name="Standaard 14 2 3 6" xfId="880"/>
    <cellStyle name="Standaard 14 2 3 6 2" xfId="1986"/>
    <cellStyle name="Standaard 14 2 3 6 2 2" xfId="4128"/>
    <cellStyle name="Standaard 14 2 3 6 3" xfId="3077"/>
    <cellStyle name="Standaard 14 2 3 6 4" xfId="5174"/>
    <cellStyle name="Standaard 14 2 3 7" xfId="1438"/>
    <cellStyle name="Standaard 14 2 3 7 2" xfId="3611"/>
    <cellStyle name="Standaard 14 2 3 8" xfId="2560"/>
    <cellStyle name="Standaard 14 2 3 9" xfId="4657"/>
    <cellStyle name="Standaard 14 2 4" xfId="303"/>
    <cellStyle name="Standaard 14 2 4 2" xfId="375"/>
    <cellStyle name="Standaard 14 2 4 2 2" xfId="526"/>
    <cellStyle name="Standaard 14 2 4 2 2 2" xfId="825"/>
    <cellStyle name="Standaard 14 2 4 2 2 2 2" xfId="1344"/>
    <cellStyle name="Standaard 14 2 4 2 2 2 2 2" xfId="2450"/>
    <cellStyle name="Standaard 14 2 4 2 2 2 2 2 2" xfId="4592"/>
    <cellStyle name="Standaard 14 2 4 2 2 2 2 3" xfId="3541"/>
    <cellStyle name="Standaard 14 2 4 2 2 2 2 4" xfId="5638"/>
    <cellStyle name="Standaard 14 2 4 2 2 2 3" xfId="1933"/>
    <cellStyle name="Standaard 14 2 4 2 2 2 3 2" xfId="4075"/>
    <cellStyle name="Standaard 14 2 4 2 2 2 4" xfId="3024"/>
    <cellStyle name="Standaard 14 2 4 2 2 2 5" xfId="5121"/>
    <cellStyle name="Standaard 14 2 4 2 2 3" xfId="1085"/>
    <cellStyle name="Standaard 14 2 4 2 2 3 2" xfId="2191"/>
    <cellStyle name="Standaard 14 2 4 2 2 3 2 2" xfId="4333"/>
    <cellStyle name="Standaard 14 2 4 2 2 3 3" xfId="3282"/>
    <cellStyle name="Standaard 14 2 4 2 2 3 4" xfId="5379"/>
    <cellStyle name="Standaard 14 2 4 2 2 4" xfId="1670"/>
    <cellStyle name="Standaard 14 2 4 2 2 4 2" xfId="3816"/>
    <cellStyle name="Standaard 14 2 4 2 2 5" xfId="2765"/>
    <cellStyle name="Standaard 14 2 4 2 2 6" xfId="4862"/>
    <cellStyle name="Standaard 14 2 4 2 3" xfId="699"/>
    <cellStyle name="Standaard 14 2 4 2 3 2" xfId="1218"/>
    <cellStyle name="Standaard 14 2 4 2 3 2 2" xfId="2324"/>
    <cellStyle name="Standaard 14 2 4 2 3 2 2 2" xfId="4466"/>
    <cellStyle name="Standaard 14 2 4 2 3 2 3" xfId="3415"/>
    <cellStyle name="Standaard 14 2 4 2 3 2 4" xfId="5512"/>
    <cellStyle name="Standaard 14 2 4 2 3 3" xfId="1807"/>
    <cellStyle name="Standaard 14 2 4 2 3 3 2" xfId="3949"/>
    <cellStyle name="Standaard 14 2 4 2 3 4" xfId="2898"/>
    <cellStyle name="Standaard 14 2 4 2 3 5" xfId="4995"/>
    <cellStyle name="Standaard 14 2 4 2 4" xfId="959"/>
    <cellStyle name="Standaard 14 2 4 2 4 2" xfId="2065"/>
    <cellStyle name="Standaard 14 2 4 2 4 2 2" xfId="4207"/>
    <cellStyle name="Standaard 14 2 4 2 4 3" xfId="3156"/>
    <cellStyle name="Standaard 14 2 4 2 4 4" xfId="5253"/>
    <cellStyle name="Standaard 14 2 4 2 5" xfId="1541"/>
    <cellStyle name="Standaard 14 2 4 2 5 2" xfId="3690"/>
    <cellStyle name="Standaard 14 2 4 2 6" xfId="2639"/>
    <cellStyle name="Standaard 14 2 4 2 7" xfId="4736"/>
    <cellStyle name="Standaard 14 2 4 3" xfId="465"/>
    <cellStyle name="Standaard 14 2 4 3 2" xfId="764"/>
    <cellStyle name="Standaard 14 2 4 3 2 2" xfId="1283"/>
    <cellStyle name="Standaard 14 2 4 3 2 2 2" xfId="2389"/>
    <cellStyle name="Standaard 14 2 4 3 2 2 2 2" xfId="4531"/>
    <cellStyle name="Standaard 14 2 4 3 2 2 3" xfId="3480"/>
    <cellStyle name="Standaard 14 2 4 3 2 2 4" xfId="5577"/>
    <cellStyle name="Standaard 14 2 4 3 2 3" xfId="1872"/>
    <cellStyle name="Standaard 14 2 4 3 2 3 2" xfId="4014"/>
    <cellStyle name="Standaard 14 2 4 3 2 4" xfId="2963"/>
    <cellStyle name="Standaard 14 2 4 3 2 5" xfId="5060"/>
    <cellStyle name="Standaard 14 2 4 3 3" xfId="1024"/>
    <cellStyle name="Standaard 14 2 4 3 3 2" xfId="2130"/>
    <cellStyle name="Standaard 14 2 4 3 3 2 2" xfId="4272"/>
    <cellStyle name="Standaard 14 2 4 3 3 3" xfId="3221"/>
    <cellStyle name="Standaard 14 2 4 3 3 4" xfId="5318"/>
    <cellStyle name="Standaard 14 2 4 3 4" xfId="1609"/>
    <cellStyle name="Standaard 14 2 4 3 4 2" xfId="3755"/>
    <cellStyle name="Standaard 14 2 4 3 5" xfId="2704"/>
    <cellStyle name="Standaard 14 2 4 3 6" xfId="4801"/>
    <cellStyle name="Standaard 14 2 4 4" xfId="638"/>
    <cellStyle name="Standaard 14 2 4 4 2" xfId="1157"/>
    <cellStyle name="Standaard 14 2 4 4 2 2" xfId="2263"/>
    <cellStyle name="Standaard 14 2 4 4 2 2 2" xfId="4405"/>
    <cellStyle name="Standaard 14 2 4 4 2 3" xfId="3354"/>
    <cellStyle name="Standaard 14 2 4 4 2 4" xfId="5451"/>
    <cellStyle name="Standaard 14 2 4 4 3" xfId="1746"/>
    <cellStyle name="Standaard 14 2 4 4 3 2" xfId="3888"/>
    <cellStyle name="Standaard 14 2 4 4 4" xfId="2837"/>
    <cellStyle name="Standaard 14 2 4 4 5" xfId="4934"/>
    <cellStyle name="Standaard 14 2 4 5" xfId="898"/>
    <cellStyle name="Standaard 14 2 4 5 2" xfId="2004"/>
    <cellStyle name="Standaard 14 2 4 5 2 2" xfId="4146"/>
    <cellStyle name="Standaard 14 2 4 5 3" xfId="3095"/>
    <cellStyle name="Standaard 14 2 4 5 4" xfId="5192"/>
    <cellStyle name="Standaard 14 2 4 6" xfId="1477"/>
    <cellStyle name="Standaard 14 2 4 6 2" xfId="3629"/>
    <cellStyle name="Standaard 14 2 4 7" xfId="2578"/>
    <cellStyle name="Standaard 14 2 4 8" xfId="4675"/>
    <cellStyle name="Standaard 14 2 5" xfId="341"/>
    <cellStyle name="Standaard 14 2 5 2" xfId="495"/>
    <cellStyle name="Standaard 14 2 5 2 2" xfId="794"/>
    <cellStyle name="Standaard 14 2 5 2 2 2" xfId="1313"/>
    <cellStyle name="Standaard 14 2 5 2 2 2 2" xfId="2419"/>
    <cellStyle name="Standaard 14 2 5 2 2 2 2 2" xfId="4561"/>
    <cellStyle name="Standaard 14 2 5 2 2 2 3" xfId="3510"/>
    <cellStyle name="Standaard 14 2 5 2 2 2 4" xfId="5607"/>
    <cellStyle name="Standaard 14 2 5 2 2 3" xfId="1902"/>
    <cellStyle name="Standaard 14 2 5 2 2 3 2" xfId="4044"/>
    <cellStyle name="Standaard 14 2 5 2 2 4" xfId="2993"/>
    <cellStyle name="Standaard 14 2 5 2 2 5" xfId="5090"/>
    <cellStyle name="Standaard 14 2 5 2 3" xfId="1054"/>
    <cellStyle name="Standaard 14 2 5 2 3 2" xfId="2160"/>
    <cellStyle name="Standaard 14 2 5 2 3 2 2" xfId="4302"/>
    <cellStyle name="Standaard 14 2 5 2 3 3" xfId="3251"/>
    <cellStyle name="Standaard 14 2 5 2 3 4" xfId="5348"/>
    <cellStyle name="Standaard 14 2 5 2 4" xfId="1639"/>
    <cellStyle name="Standaard 14 2 5 2 4 2" xfId="3785"/>
    <cellStyle name="Standaard 14 2 5 2 5" xfId="2734"/>
    <cellStyle name="Standaard 14 2 5 2 6" xfId="4831"/>
    <cellStyle name="Standaard 14 2 5 3" xfId="668"/>
    <cellStyle name="Standaard 14 2 5 3 2" xfId="1187"/>
    <cellStyle name="Standaard 14 2 5 3 2 2" xfId="2293"/>
    <cellStyle name="Standaard 14 2 5 3 2 2 2" xfId="4435"/>
    <cellStyle name="Standaard 14 2 5 3 2 3" xfId="3384"/>
    <cellStyle name="Standaard 14 2 5 3 2 4" xfId="5481"/>
    <cellStyle name="Standaard 14 2 5 3 3" xfId="1776"/>
    <cellStyle name="Standaard 14 2 5 3 3 2" xfId="3918"/>
    <cellStyle name="Standaard 14 2 5 3 4" xfId="2867"/>
    <cellStyle name="Standaard 14 2 5 3 5" xfId="4964"/>
    <cellStyle name="Standaard 14 2 5 4" xfId="928"/>
    <cellStyle name="Standaard 14 2 5 4 2" xfId="2034"/>
    <cellStyle name="Standaard 14 2 5 4 2 2" xfId="4176"/>
    <cellStyle name="Standaard 14 2 5 4 3" xfId="3125"/>
    <cellStyle name="Standaard 14 2 5 4 4" xfId="5222"/>
    <cellStyle name="Standaard 14 2 5 5" xfId="1509"/>
    <cellStyle name="Standaard 14 2 5 5 2" xfId="3659"/>
    <cellStyle name="Standaard 14 2 5 6" xfId="2608"/>
    <cellStyle name="Standaard 14 2 5 7" xfId="4705"/>
    <cellStyle name="Standaard 14 2 6" xfId="409"/>
    <cellStyle name="Standaard 14 2 6 2" xfId="722"/>
    <cellStyle name="Standaard 14 2 6 2 2" xfId="1241"/>
    <cellStyle name="Standaard 14 2 6 2 2 2" xfId="2347"/>
    <cellStyle name="Standaard 14 2 6 2 2 2 2" xfId="4489"/>
    <cellStyle name="Standaard 14 2 6 2 2 3" xfId="3438"/>
    <cellStyle name="Standaard 14 2 6 2 2 4" xfId="5535"/>
    <cellStyle name="Standaard 14 2 6 2 3" xfId="1830"/>
    <cellStyle name="Standaard 14 2 6 2 3 2" xfId="3972"/>
    <cellStyle name="Standaard 14 2 6 2 4" xfId="2921"/>
    <cellStyle name="Standaard 14 2 6 2 5" xfId="5018"/>
    <cellStyle name="Standaard 14 2 6 3" xfId="982"/>
    <cellStyle name="Standaard 14 2 6 3 2" xfId="2088"/>
    <cellStyle name="Standaard 14 2 6 3 2 2" xfId="4230"/>
    <cellStyle name="Standaard 14 2 6 3 3" xfId="3179"/>
    <cellStyle name="Standaard 14 2 6 3 4" xfId="5276"/>
    <cellStyle name="Standaard 14 2 6 4" xfId="1565"/>
    <cellStyle name="Standaard 14 2 6 4 2" xfId="3713"/>
    <cellStyle name="Standaard 14 2 6 5" xfId="2662"/>
    <cellStyle name="Standaard 14 2 6 6" xfId="4759"/>
    <cellStyle name="Standaard 14 2 7" xfId="421"/>
    <cellStyle name="Standaard 14 2 7 2" xfId="734"/>
    <cellStyle name="Standaard 14 2 7 2 2" xfId="1253"/>
    <cellStyle name="Standaard 14 2 7 2 2 2" xfId="2359"/>
    <cellStyle name="Standaard 14 2 7 2 2 2 2" xfId="4501"/>
    <cellStyle name="Standaard 14 2 7 2 2 3" xfId="3450"/>
    <cellStyle name="Standaard 14 2 7 2 2 4" xfId="5547"/>
    <cellStyle name="Standaard 14 2 7 2 3" xfId="1842"/>
    <cellStyle name="Standaard 14 2 7 2 3 2" xfId="3984"/>
    <cellStyle name="Standaard 14 2 7 2 4" xfId="2933"/>
    <cellStyle name="Standaard 14 2 7 2 5" xfId="5030"/>
    <cellStyle name="Standaard 14 2 7 3" xfId="994"/>
    <cellStyle name="Standaard 14 2 7 3 2" xfId="2100"/>
    <cellStyle name="Standaard 14 2 7 3 2 2" xfId="4242"/>
    <cellStyle name="Standaard 14 2 7 3 3" xfId="3191"/>
    <cellStyle name="Standaard 14 2 7 3 4" xfId="5288"/>
    <cellStyle name="Standaard 14 2 7 4" xfId="1577"/>
    <cellStyle name="Standaard 14 2 7 4 2" xfId="3725"/>
    <cellStyle name="Standaard 14 2 7 5" xfId="2674"/>
    <cellStyle name="Standaard 14 2 7 6" xfId="4771"/>
    <cellStyle name="Standaard 14 2 8" xfId="607"/>
    <cellStyle name="Standaard 14 2 8 2" xfId="1126"/>
    <cellStyle name="Standaard 14 2 8 2 2" xfId="2232"/>
    <cellStyle name="Standaard 14 2 8 2 2 2" xfId="4374"/>
    <cellStyle name="Standaard 14 2 8 2 3" xfId="3323"/>
    <cellStyle name="Standaard 14 2 8 2 4" xfId="5420"/>
    <cellStyle name="Standaard 14 2 8 3" xfId="1715"/>
    <cellStyle name="Standaard 14 2 8 3 2" xfId="3857"/>
    <cellStyle name="Standaard 14 2 8 4" xfId="2806"/>
    <cellStyle name="Standaard 14 2 8 5" xfId="4903"/>
    <cellStyle name="Standaard 14 2 9" xfId="866"/>
    <cellStyle name="Standaard 14 2 9 2" xfId="1974"/>
    <cellStyle name="Standaard 14 2 9 2 2" xfId="4116"/>
    <cellStyle name="Standaard 14 2 9 3" xfId="3065"/>
    <cellStyle name="Standaard 14 2 9 4" xfId="5162"/>
    <cellStyle name="Standaard 14 3" xfId="42"/>
    <cellStyle name="Standaard 14 4" xfId="56"/>
    <cellStyle name="Standaard 14 4 10" xfId="1426"/>
    <cellStyle name="Standaard 14 4 10 2" xfId="3599"/>
    <cellStyle name="Standaard 14 4 11" xfId="2548"/>
    <cellStyle name="Standaard 14 4 12" xfId="4646"/>
    <cellStyle name="Standaard 14 4 2" xfId="71"/>
    <cellStyle name="Standaard 14 4 2 2" xfId="316"/>
    <cellStyle name="Standaard 14 4 2 2 2" xfId="387"/>
    <cellStyle name="Standaard 14 4 2 2 2 2" xfId="538"/>
    <cellStyle name="Standaard 14 4 2 2 2 2 2" xfId="837"/>
    <cellStyle name="Standaard 14 4 2 2 2 2 2 2" xfId="1356"/>
    <cellStyle name="Standaard 14 4 2 2 2 2 2 2 2" xfId="2462"/>
    <cellStyle name="Standaard 14 4 2 2 2 2 2 2 2 2" xfId="4604"/>
    <cellStyle name="Standaard 14 4 2 2 2 2 2 2 3" xfId="3553"/>
    <cellStyle name="Standaard 14 4 2 2 2 2 2 2 4" xfId="5650"/>
    <cellStyle name="Standaard 14 4 2 2 2 2 2 3" xfId="1945"/>
    <cellStyle name="Standaard 14 4 2 2 2 2 2 3 2" xfId="4087"/>
    <cellStyle name="Standaard 14 4 2 2 2 2 2 4" xfId="3036"/>
    <cellStyle name="Standaard 14 4 2 2 2 2 2 5" xfId="5133"/>
    <cellStyle name="Standaard 14 4 2 2 2 2 3" xfId="1097"/>
    <cellStyle name="Standaard 14 4 2 2 2 2 3 2" xfId="2203"/>
    <cellStyle name="Standaard 14 4 2 2 2 2 3 2 2" xfId="4345"/>
    <cellStyle name="Standaard 14 4 2 2 2 2 3 3" xfId="3294"/>
    <cellStyle name="Standaard 14 4 2 2 2 2 3 4" xfId="5391"/>
    <cellStyle name="Standaard 14 4 2 2 2 2 4" xfId="1682"/>
    <cellStyle name="Standaard 14 4 2 2 2 2 4 2" xfId="3828"/>
    <cellStyle name="Standaard 14 4 2 2 2 2 5" xfId="2777"/>
    <cellStyle name="Standaard 14 4 2 2 2 2 6" xfId="4874"/>
    <cellStyle name="Standaard 14 4 2 2 2 3" xfId="711"/>
    <cellStyle name="Standaard 14 4 2 2 2 3 2" xfId="1230"/>
    <cellStyle name="Standaard 14 4 2 2 2 3 2 2" xfId="2336"/>
    <cellStyle name="Standaard 14 4 2 2 2 3 2 2 2" xfId="4478"/>
    <cellStyle name="Standaard 14 4 2 2 2 3 2 3" xfId="3427"/>
    <cellStyle name="Standaard 14 4 2 2 2 3 2 4" xfId="5524"/>
    <cellStyle name="Standaard 14 4 2 2 2 3 3" xfId="1819"/>
    <cellStyle name="Standaard 14 4 2 2 2 3 3 2" xfId="3961"/>
    <cellStyle name="Standaard 14 4 2 2 2 3 4" xfId="2910"/>
    <cellStyle name="Standaard 14 4 2 2 2 3 5" xfId="5007"/>
    <cellStyle name="Standaard 14 4 2 2 2 4" xfId="971"/>
    <cellStyle name="Standaard 14 4 2 2 2 4 2" xfId="2077"/>
    <cellStyle name="Standaard 14 4 2 2 2 4 2 2" xfId="4219"/>
    <cellStyle name="Standaard 14 4 2 2 2 4 3" xfId="3168"/>
    <cellStyle name="Standaard 14 4 2 2 2 4 4" xfId="5265"/>
    <cellStyle name="Standaard 14 4 2 2 2 5" xfId="1553"/>
    <cellStyle name="Standaard 14 4 2 2 2 5 2" xfId="3702"/>
    <cellStyle name="Standaard 14 4 2 2 2 6" xfId="2651"/>
    <cellStyle name="Standaard 14 4 2 2 2 7" xfId="4748"/>
    <cellStyle name="Standaard 14 4 2 2 3" xfId="477"/>
    <cellStyle name="Standaard 14 4 2 2 3 2" xfId="776"/>
    <cellStyle name="Standaard 14 4 2 2 3 2 2" xfId="1295"/>
    <cellStyle name="Standaard 14 4 2 2 3 2 2 2" xfId="2401"/>
    <cellStyle name="Standaard 14 4 2 2 3 2 2 2 2" xfId="4543"/>
    <cellStyle name="Standaard 14 4 2 2 3 2 2 3" xfId="3492"/>
    <cellStyle name="Standaard 14 4 2 2 3 2 2 4" xfId="5589"/>
    <cellStyle name="Standaard 14 4 2 2 3 2 3" xfId="1884"/>
    <cellStyle name="Standaard 14 4 2 2 3 2 3 2" xfId="4026"/>
    <cellStyle name="Standaard 14 4 2 2 3 2 4" xfId="2975"/>
    <cellStyle name="Standaard 14 4 2 2 3 2 5" xfId="5072"/>
    <cellStyle name="Standaard 14 4 2 2 3 3" xfId="1036"/>
    <cellStyle name="Standaard 14 4 2 2 3 3 2" xfId="2142"/>
    <cellStyle name="Standaard 14 4 2 2 3 3 2 2" xfId="4284"/>
    <cellStyle name="Standaard 14 4 2 2 3 3 3" xfId="3233"/>
    <cellStyle name="Standaard 14 4 2 2 3 3 4" xfId="5330"/>
    <cellStyle name="Standaard 14 4 2 2 3 4" xfId="1621"/>
    <cellStyle name="Standaard 14 4 2 2 3 4 2" xfId="3767"/>
    <cellStyle name="Standaard 14 4 2 2 3 5" xfId="2716"/>
    <cellStyle name="Standaard 14 4 2 2 3 6" xfId="4813"/>
    <cellStyle name="Standaard 14 4 2 2 4" xfId="650"/>
    <cellStyle name="Standaard 14 4 2 2 4 2" xfId="1169"/>
    <cellStyle name="Standaard 14 4 2 2 4 2 2" xfId="2275"/>
    <cellStyle name="Standaard 14 4 2 2 4 2 2 2" xfId="4417"/>
    <cellStyle name="Standaard 14 4 2 2 4 2 3" xfId="3366"/>
    <cellStyle name="Standaard 14 4 2 2 4 2 4" xfId="5463"/>
    <cellStyle name="Standaard 14 4 2 2 4 3" xfId="1758"/>
    <cellStyle name="Standaard 14 4 2 2 4 3 2" xfId="3900"/>
    <cellStyle name="Standaard 14 4 2 2 4 4" xfId="2849"/>
    <cellStyle name="Standaard 14 4 2 2 4 5" xfId="4946"/>
    <cellStyle name="Standaard 14 4 2 2 5" xfId="910"/>
    <cellStyle name="Standaard 14 4 2 2 5 2" xfId="2016"/>
    <cellStyle name="Standaard 14 4 2 2 5 2 2" xfId="4158"/>
    <cellStyle name="Standaard 14 4 2 2 5 3" xfId="3107"/>
    <cellStyle name="Standaard 14 4 2 2 5 4" xfId="5204"/>
    <cellStyle name="Standaard 14 4 2 2 6" xfId="1489"/>
    <cellStyle name="Standaard 14 4 2 2 6 2" xfId="3641"/>
    <cellStyle name="Standaard 14 4 2 2 7" xfId="2590"/>
    <cellStyle name="Standaard 14 4 2 2 8" xfId="4687"/>
    <cellStyle name="Standaard 14 4 2 3" xfId="355"/>
    <cellStyle name="Standaard 14 4 2 3 2" xfId="509"/>
    <cellStyle name="Standaard 14 4 2 3 2 2" xfId="808"/>
    <cellStyle name="Standaard 14 4 2 3 2 2 2" xfId="1327"/>
    <cellStyle name="Standaard 14 4 2 3 2 2 2 2" xfId="2433"/>
    <cellStyle name="Standaard 14 4 2 3 2 2 2 2 2" xfId="4575"/>
    <cellStyle name="Standaard 14 4 2 3 2 2 2 3" xfId="3524"/>
    <cellStyle name="Standaard 14 4 2 3 2 2 2 4" xfId="5621"/>
    <cellStyle name="Standaard 14 4 2 3 2 2 3" xfId="1916"/>
    <cellStyle name="Standaard 14 4 2 3 2 2 3 2" xfId="4058"/>
    <cellStyle name="Standaard 14 4 2 3 2 2 4" xfId="3007"/>
    <cellStyle name="Standaard 14 4 2 3 2 2 5" xfId="5104"/>
    <cellStyle name="Standaard 14 4 2 3 2 3" xfId="1068"/>
    <cellStyle name="Standaard 14 4 2 3 2 3 2" xfId="2174"/>
    <cellStyle name="Standaard 14 4 2 3 2 3 2 2" xfId="4316"/>
    <cellStyle name="Standaard 14 4 2 3 2 3 3" xfId="3265"/>
    <cellStyle name="Standaard 14 4 2 3 2 3 4" xfId="5362"/>
    <cellStyle name="Standaard 14 4 2 3 2 4" xfId="1653"/>
    <cellStyle name="Standaard 14 4 2 3 2 4 2" xfId="3799"/>
    <cellStyle name="Standaard 14 4 2 3 2 5" xfId="2748"/>
    <cellStyle name="Standaard 14 4 2 3 2 6" xfId="4845"/>
    <cellStyle name="Standaard 14 4 2 3 3" xfId="682"/>
    <cellStyle name="Standaard 14 4 2 3 3 2" xfId="1201"/>
    <cellStyle name="Standaard 14 4 2 3 3 2 2" xfId="2307"/>
    <cellStyle name="Standaard 14 4 2 3 3 2 2 2" xfId="4449"/>
    <cellStyle name="Standaard 14 4 2 3 3 2 3" xfId="3398"/>
    <cellStyle name="Standaard 14 4 2 3 3 2 4" xfId="5495"/>
    <cellStyle name="Standaard 14 4 2 3 3 3" xfId="1790"/>
    <cellStyle name="Standaard 14 4 2 3 3 3 2" xfId="3932"/>
    <cellStyle name="Standaard 14 4 2 3 3 4" xfId="2881"/>
    <cellStyle name="Standaard 14 4 2 3 3 5" xfId="4978"/>
    <cellStyle name="Standaard 14 4 2 3 4" xfId="942"/>
    <cellStyle name="Standaard 14 4 2 3 4 2" xfId="2048"/>
    <cellStyle name="Standaard 14 4 2 3 4 2 2" xfId="4190"/>
    <cellStyle name="Standaard 14 4 2 3 4 3" xfId="3139"/>
    <cellStyle name="Standaard 14 4 2 3 4 4" xfId="5236"/>
    <cellStyle name="Standaard 14 4 2 3 5" xfId="1523"/>
    <cellStyle name="Standaard 14 4 2 3 5 2" xfId="3673"/>
    <cellStyle name="Standaard 14 4 2 3 6" xfId="2622"/>
    <cellStyle name="Standaard 14 4 2 3 7" xfId="4719"/>
    <cellStyle name="Standaard 14 4 2 4" xfId="440"/>
    <cellStyle name="Standaard 14 4 2 4 2" xfId="747"/>
    <cellStyle name="Standaard 14 4 2 4 2 2" xfId="1266"/>
    <cellStyle name="Standaard 14 4 2 4 2 2 2" xfId="2372"/>
    <cellStyle name="Standaard 14 4 2 4 2 2 2 2" xfId="4514"/>
    <cellStyle name="Standaard 14 4 2 4 2 2 3" xfId="3463"/>
    <cellStyle name="Standaard 14 4 2 4 2 2 4" xfId="5560"/>
    <cellStyle name="Standaard 14 4 2 4 2 3" xfId="1855"/>
    <cellStyle name="Standaard 14 4 2 4 2 3 2" xfId="3997"/>
    <cellStyle name="Standaard 14 4 2 4 2 4" xfId="2946"/>
    <cellStyle name="Standaard 14 4 2 4 2 5" xfId="5043"/>
    <cellStyle name="Standaard 14 4 2 4 3" xfId="1007"/>
    <cellStyle name="Standaard 14 4 2 4 3 2" xfId="2113"/>
    <cellStyle name="Standaard 14 4 2 4 3 2 2" xfId="4255"/>
    <cellStyle name="Standaard 14 4 2 4 3 3" xfId="3204"/>
    <cellStyle name="Standaard 14 4 2 4 3 4" xfId="5301"/>
    <cellStyle name="Standaard 14 4 2 4 4" xfId="1590"/>
    <cellStyle name="Standaard 14 4 2 4 4 2" xfId="3738"/>
    <cellStyle name="Standaard 14 4 2 4 5" xfId="2687"/>
    <cellStyle name="Standaard 14 4 2 4 6" xfId="4784"/>
    <cellStyle name="Standaard 14 4 2 5" xfId="621"/>
    <cellStyle name="Standaard 14 4 2 5 2" xfId="1140"/>
    <cellStyle name="Standaard 14 4 2 5 2 2" xfId="2246"/>
    <cellStyle name="Standaard 14 4 2 5 2 2 2" xfId="4388"/>
    <cellStyle name="Standaard 14 4 2 5 2 3" xfId="3337"/>
    <cellStyle name="Standaard 14 4 2 5 2 4" xfId="5434"/>
    <cellStyle name="Standaard 14 4 2 5 3" xfId="1729"/>
    <cellStyle name="Standaard 14 4 2 5 3 2" xfId="3871"/>
    <cellStyle name="Standaard 14 4 2 5 4" xfId="2820"/>
    <cellStyle name="Standaard 14 4 2 5 5" xfId="4917"/>
    <cellStyle name="Standaard 14 4 2 6" xfId="881"/>
    <cellStyle name="Standaard 14 4 2 6 2" xfId="1987"/>
    <cellStyle name="Standaard 14 4 2 6 2 2" xfId="4129"/>
    <cellStyle name="Standaard 14 4 2 6 3" xfId="3078"/>
    <cellStyle name="Standaard 14 4 2 6 4" xfId="5175"/>
    <cellStyle name="Standaard 14 4 2 7" xfId="1439"/>
    <cellStyle name="Standaard 14 4 2 7 2" xfId="3612"/>
    <cellStyle name="Standaard 14 4 2 8" xfId="2561"/>
    <cellStyle name="Standaard 14 4 2 9" xfId="4658"/>
    <cellStyle name="Standaard 14 4 3" xfId="304"/>
    <cellStyle name="Standaard 14 4 3 2" xfId="376"/>
    <cellStyle name="Standaard 14 4 3 2 2" xfId="527"/>
    <cellStyle name="Standaard 14 4 3 2 2 2" xfId="826"/>
    <cellStyle name="Standaard 14 4 3 2 2 2 2" xfId="1345"/>
    <cellStyle name="Standaard 14 4 3 2 2 2 2 2" xfId="2451"/>
    <cellStyle name="Standaard 14 4 3 2 2 2 2 2 2" xfId="4593"/>
    <cellStyle name="Standaard 14 4 3 2 2 2 2 3" xfId="3542"/>
    <cellStyle name="Standaard 14 4 3 2 2 2 2 4" xfId="5639"/>
    <cellStyle name="Standaard 14 4 3 2 2 2 3" xfId="1934"/>
    <cellStyle name="Standaard 14 4 3 2 2 2 3 2" xfId="4076"/>
    <cellStyle name="Standaard 14 4 3 2 2 2 4" xfId="3025"/>
    <cellStyle name="Standaard 14 4 3 2 2 2 5" xfId="5122"/>
    <cellStyle name="Standaard 14 4 3 2 2 3" xfId="1086"/>
    <cellStyle name="Standaard 14 4 3 2 2 3 2" xfId="2192"/>
    <cellStyle name="Standaard 14 4 3 2 2 3 2 2" xfId="4334"/>
    <cellStyle name="Standaard 14 4 3 2 2 3 3" xfId="3283"/>
    <cellStyle name="Standaard 14 4 3 2 2 3 4" xfId="5380"/>
    <cellStyle name="Standaard 14 4 3 2 2 4" xfId="1671"/>
    <cellStyle name="Standaard 14 4 3 2 2 4 2" xfId="3817"/>
    <cellStyle name="Standaard 14 4 3 2 2 5" xfId="2766"/>
    <cellStyle name="Standaard 14 4 3 2 2 6" xfId="4863"/>
    <cellStyle name="Standaard 14 4 3 2 3" xfId="700"/>
    <cellStyle name="Standaard 14 4 3 2 3 2" xfId="1219"/>
    <cellStyle name="Standaard 14 4 3 2 3 2 2" xfId="2325"/>
    <cellStyle name="Standaard 14 4 3 2 3 2 2 2" xfId="4467"/>
    <cellStyle name="Standaard 14 4 3 2 3 2 3" xfId="3416"/>
    <cellStyle name="Standaard 14 4 3 2 3 2 4" xfId="5513"/>
    <cellStyle name="Standaard 14 4 3 2 3 3" xfId="1808"/>
    <cellStyle name="Standaard 14 4 3 2 3 3 2" xfId="3950"/>
    <cellStyle name="Standaard 14 4 3 2 3 4" xfId="2899"/>
    <cellStyle name="Standaard 14 4 3 2 3 5" xfId="4996"/>
    <cellStyle name="Standaard 14 4 3 2 4" xfId="960"/>
    <cellStyle name="Standaard 14 4 3 2 4 2" xfId="2066"/>
    <cellStyle name="Standaard 14 4 3 2 4 2 2" xfId="4208"/>
    <cellStyle name="Standaard 14 4 3 2 4 3" xfId="3157"/>
    <cellStyle name="Standaard 14 4 3 2 4 4" xfId="5254"/>
    <cellStyle name="Standaard 14 4 3 2 5" xfId="1542"/>
    <cellStyle name="Standaard 14 4 3 2 5 2" xfId="3691"/>
    <cellStyle name="Standaard 14 4 3 2 6" xfId="2640"/>
    <cellStyle name="Standaard 14 4 3 2 7" xfId="4737"/>
    <cellStyle name="Standaard 14 4 3 3" xfId="466"/>
    <cellStyle name="Standaard 14 4 3 3 2" xfId="765"/>
    <cellStyle name="Standaard 14 4 3 3 2 2" xfId="1284"/>
    <cellStyle name="Standaard 14 4 3 3 2 2 2" xfId="2390"/>
    <cellStyle name="Standaard 14 4 3 3 2 2 2 2" xfId="4532"/>
    <cellStyle name="Standaard 14 4 3 3 2 2 3" xfId="3481"/>
    <cellStyle name="Standaard 14 4 3 3 2 2 4" xfId="5578"/>
    <cellStyle name="Standaard 14 4 3 3 2 3" xfId="1873"/>
    <cellStyle name="Standaard 14 4 3 3 2 3 2" xfId="4015"/>
    <cellStyle name="Standaard 14 4 3 3 2 4" xfId="2964"/>
    <cellStyle name="Standaard 14 4 3 3 2 5" xfId="5061"/>
    <cellStyle name="Standaard 14 4 3 3 3" xfId="1025"/>
    <cellStyle name="Standaard 14 4 3 3 3 2" xfId="2131"/>
    <cellStyle name="Standaard 14 4 3 3 3 2 2" xfId="4273"/>
    <cellStyle name="Standaard 14 4 3 3 3 3" xfId="3222"/>
    <cellStyle name="Standaard 14 4 3 3 3 4" xfId="5319"/>
    <cellStyle name="Standaard 14 4 3 3 4" xfId="1610"/>
    <cellStyle name="Standaard 14 4 3 3 4 2" xfId="3756"/>
    <cellStyle name="Standaard 14 4 3 3 5" xfId="2705"/>
    <cellStyle name="Standaard 14 4 3 3 6" xfId="4802"/>
    <cellStyle name="Standaard 14 4 3 4" xfId="639"/>
    <cellStyle name="Standaard 14 4 3 4 2" xfId="1158"/>
    <cellStyle name="Standaard 14 4 3 4 2 2" xfId="2264"/>
    <cellStyle name="Standaard 14 4 3 4 2 2 2" xfId="4406"/>
    <cellStyle name="Standaard 14 4 3 4 2 3" xfId="3355"/>
    <cellStyle name="Standaard 14 4 3 4 2 4" xfId="5452"/>
    <cellStyle name="Standaard 14 4 3 4 3" xfId="1747"/>
    <cellStyle name="Standaard 14 4 3 4 3 2" xfId="3889"/>
    <cellStyle name="Standaard 14 4 3 4 4" xfId="2838"/>
    <cellStyle name="Standaard 14 4 3 4 5" xfId="4935"/>
    <cellStyle name="Standaard 14 4 3 5" xfId="899"/>
    <cellStyle name="Standaard 14 4 3 5 2" xfId="2005"/>
    <cellStyle name="Standaard 14 4 3 5 2 2" xfId="4147"/>
    <cellStyle name="Standaard 14 4 3 5 3" xfId="3096"/>
    <cellStyle name="Standaard 14 4 3 5 4" xfId="5193"/>
    <cellStyle name="Standaard 14 4 3 6" xfId="1478"/>
    <cellStyle name="Standaard 14 4 3 6 2" xfId="3630"/>
    <cellStyle name="Standaard 14 4 3 7" xfId="2579"/>
    <cellStyle name="Standaard 14 4 3 8" xfId="4676"/>
    <cellStyle name="Standaard 14 4 4" xfId="342"/>
    <cellStyle name="Standaard 14 4 4 2" xfId="496"/>
    <cellStyle name="Standaard 14 4 4 2 2" xfId="795"/>
    <cellStyle name="Standaard 14 4 4 2 2 2" xfId="1314"/>
    <cellStyle name="Standaard 14 4 4 2 2 2 2" xfId="2420"/>
    <cellStyle name="Standaard 14 4 4 2 2 2 2 2" xfId="4562"/>
    <cellStyle name="Standaard 14 4 4 2 2 2 3" xfId="3511"/>
    <cellStyle name="Standaard 14 4 4 2 2 2 4" xfId="5608"/>
    <cellStyle name="Standaard 14 4 4 2 2 3" xfId="1903"/>
    <cellStyle name="Standaard 14 4 4 2 2 3 2" xfId="4045"/>
    <cellStyle name="Standaard 14 4 4 2 2 4" xfId="2994"/>
    <cellStyle name="Standaard 14 4 4 2 2 5" xfId="5091"/>
    <cellStyle name="Standaard 14 4 4 2 3" xfId="1055"/>
    <cellStyle name="Standaard 14 4 4 2 3 2" xfId="2161"/>
    <cellStyle name="Standaard 14 4 4 2 3 2 2" xfId="4303"/>
    <cellStyle name="Standaard 14 4 4 2 3 3" xfId="3252"/>
    <cellStyle name="Standaard 14 4 4 2 3 4" xfId="5349"/>
    <cellStyle name="Standaard 14 4 4 2 4" xfId="1640"/>
    <cellStyle name="Standaard 14 4 4 2 4 2" xfId="3786"/>
    <cellStyle name="Standaard 14 4 4 2 5" xfId="2735"/>
    <cellStyle name="Standaard 14 4 4 2 6" xfId="4832"/>
    <cellStyle name="Standaard 14 4 4 3" xfId="669"/>
    <cellStyle name="Standaard 14 4 4 3 2" xfId="1188"/>
    <cellStyle name="Standaard 14 4 4 3 2 2" xfId="2294"/>
    <cellStyle name="Standaard 14 4 4 3 2 2 2" xfId="4436"/>
    <cellStyle name="Standaard 14 4 4 3 2 3" xfId="3385"/>
    <cellStyle name="Standaard 14 4 4 3 2 4" xfId="5482"/>
    <cellStyle name="Standaard 14 4 4 3 3" xfId="1777"/>
    <cellStyle name="Standaard 14 4 4 3 3 2" xfId="3919"/>
    <cellStyle name="Standaard 14 4 4 3 4" xfId="2868"/>
    <cellStyle name="Standaard 14 4 4 3 5" xfId="4965"/>
    <cellStyle name="Standaard 14 4 4 4" xfId="929"/>
    <cellStyle name="Standaard 14 4 4 4 2" xfId="2035"/>
    <cellStyle name="Standaard 14 4 4 4 2 2" xfId="4177"/>
    <cellStyle name="Standaard 14 4 4 4 3" xfId="3126"/>
    <cellStyle name="Standaard 14 4 4 4 4" xfId="5223"/>
    <cellStyle name="Standaard 14 4 4 5" xfId="1510"/>
    <cellStyle name="Standaard 14 4 4 5 2" xfId="3660"/>
    <cellStyle name="Standaard 14 4 4 6" xfId="2609"/>
    <cellStyle name="Standaard 14 4 4 7" xfId="4706"/>
    <cellStyle name="Standaard 14 4 5" xfId="410"/>
    <cellStyle name="Standaard 14 4 5 2" xfId="723"/>
    <cellStyle name="Standaard 14 4 5 2 2" xfId="1242"/>
    <cellStyle name="Standaard 14 4 5 2 2 2" xfId="2348"/>
    <cellStyle name="Standaard 14 4 5 2 2 2 2" xfId="4490"/>
    <cellStyle name="Standaard 14 4 5 2 2 3" xfId="3439"/>
    <cellStyle name="Standaard 14 4 5 2 2 4" xfId="5536"/>
    <cellStyle name="Standaard 14 4 5 2 3" xfId="1831"/>
    <cellStyle name="Standaard 14 4 5 2 3 2" xfId="3973"/>
    <cellStyle name="Standaard 14 4 5 2 4" xfId="2922"/>
    <cellStyle name="Standaard 14 4 5 2 5" xfId="5019"/>
    <cellStyle name="Standaard 14 4 5 3" xfId="983"/>
    <cellStyle name="Standaard 14 4 5 3 2" xfId="2089"/>
    <cellStyle name="Standaard 14 4 5 3 2 2" xfId="4231"/>
    <cellStyle name="Standaard 14 4 5 3 3" xfId="3180"/>
    <cellStyle name="Standaard 14 4 5 3 4" xfId="5277"/>
    <cellStyle name="Standaard 14 4 5 4" xfId="1566"/>
    <cellStyle name="Standaard 14 4 5 4 2" xfId="3714"/>
    <cellStyle name="Standaard 14 4 5 5" xfId="2663"/>
    <cellStyle name="Standaard 14 4 5 6" xfId="4760"/>
    <cellStyle name="Standaard 14 4 6" xfId="422"/>
    <cellStyle name="Standaard 14 4 6 2" xfId="735"/>
    <cellStyle name="Standaard 14 4 6 2 2" xfId="1254"/>
    <cellStyle name="Standaard 14 4 6 2 2 2" xfId="2360"/>
    <cellStyle name="Standaard 14 4 6 2 2 2 2" xfId="4502"/>
    <cellStyle name="Standaard 14 4 6 2 2 3" xfId="3451"/>
    <cellStyle name="Standaard 14 4 6 2 2 4" xfId="5548"/>
    <cellStyle name="Standaard 14 4 6 2 3" xfId="1843"/>
    <cellStyle name="Standaard 14 4 6 2 3 2" xfId="3985"/>
    <cellStyle name="Standaard 14 4 6 2 4" xfId="2934"/>
    <cellStyle name="Standaard 14 4 6 2 5" xfId="5031"/>
    <cellStyle name="Standaard 14 4 6 3" xfId="995"/>
    <cellStyle name="Standaard 14 4 6 3 2" xfId="2101"/>
    <cellStyle name="Standaard 14 4 6 3 2 2" xfId="4243"/>
    <cellStyle name="Standaard 14 4 6 3 3" xfId="3192"/>
    <cellStyle name="Standaard 14 4 6 3 4" xfId="5289"/>
    <cellStyle name="Standaard 14 4 6 4" xfId="1578"/>
    <cellStyle name="Standaard 14 4 6 4 2" xfId="3726"/>
    <cellStyle name="Standaard 14 4 6 5" xfId="2675"/>
    <cellStyle name="Standaard 14 4 6 6" xfId="4772"/>
    <cellStyle name="Standaard 14 4 7" xfId="608"/>
    <cellStyle name="Standaard 14 4 7 2" xfId="1127"/>
    <cellStyle name="Standaard 14 4 7 2 2" xfId="2233"/>
    <cellStyle name="Standaard 14 4 7 2 2 2" xfId="4375"/>
    <cellStyle name="Standaard 14 4 7 2 3" xfId="3324"/>
    <cellStyle name="Standaard 14 4 7 2 4" xfId="5421"/>
    <cellStyle name="Standaard 14 4 7 3" xfId="1716"/>
    <cellStyle name="Standaard 14 4 7 3 2" xfId="3858"/>
    <cellStyle name="Standaard 14 4 7 4" xfId="2807"/>
    <cellStyle name="Standaard 14 4 7 5" xfId="4904"/>
    <cellStyle name="Standaard 14 4 8" xfId="867"/>
    <cellStyle name="Standaard 14 4 8 2" xfId="1975"/>
    <cellStyle name="Standaard 14 4 8 2 2" xfId="4117"/>
    <cellStyle name="Standaard 14 4 8 3" xfId="3066"/>
    <cellStyle name="Standaard 14 4 8 4" xfId="5163"/>
    <cellStyle name="Standaard 14 4 9" xfId="1400"/>
    <cellStyle name="Standaard 14 4 9 2" xfId="2492"/>
    <cellStyle name="Standaard 14 4 9 2 2" xfId="4634"/>
    <cellStyle name="Standaard 14 4 9 3" xfId="3583"/>
    <cellStyle name="Standaard 14 4 9 4" xfId="5680"/>
    <cellStyle name="Standaard 14 5" xfId="55"/>
    <cellStyle name="Standaard 14 5 2" xfId="58"/>
    <cellStyle name="Standaard 14 6" xfId="33"/>
    <cellStyle name="Standaard 14 6 10" xfId="2544"/>
    <cellStyle name="Standaard 14 6 11" xfId="4642"/>
    <cellStyle name="Standaard 14 6 2" xfId="299"/>
    <cellStyle name="Standaard 14 6 2 2" xfId="372"/>
    <cellStyle name="Standaard 14 6 2 2 2" xfId="523"/>
    <cellStyle name="Standaard 14 6 2 2 2 2" xfId="822"/>
    <cellStyle name="Standaard 14 6 2 2 2 2 2" xfId="1341"/>
    <cellStyle name="Standaard 14 6 2 2 2 2 2 2" xfId="2447"/>
    <cellStyle name="Standaard 14 6 2 2 2 2 2 2 2" xfId="4589"/>
    <cellStyle name="Standaard 14 6 2 2 2 2 2 3" xfId="3538"/>
    <cellStyle name="Standaard 14 6 2 2 2 2 2 4" xfId="5635"/>
    <cellStyle name="Standaard 14 6 2 2 2 2 3" xfId="1930"/>
    <cellStyle name="Standaard 14 6 2 2 2 2 3 2" xfId="4072"/>
    <cellStyle name="Standaard 14 6 2 2 2 2 4" xfId="3021"/>
    <cellStyle name="Standaard 14 6 2 2 2 2 5" xfId="5118"/>
    <cellStyle name="Standaard 14 6 2 2 2 3" xfId="1082"/>
    <cellStyle name="Standaard 14 6 2 2 2 3 2" xfId="2188"/>
    <cellStyle name="Standaard 14 6 2 2 2 3 2 2" xfId="4330"/>
    <cellStyle name="Standaard 14 6 2 2 2 3 3" xfId="3279"/>
    <cellStyle name="Standaard 14 6 2 2 2 3 4" xfId="5376"/>
    <cellStyle name="Standaard 14 6 2 2 2 4" xfId="1667"/>
    <cellStyle name="Standaard 14 6 2 2 2 4 2" xfId="3813"/>
    <cellStyle name="Standaard 14 6 2 2 2 5" xfId="2762"/>
    <cellStyle name="Standaard 14 6 2 2 2 6" xfId="4859"/>
    <cellStyle name="Standaard 14 6 2 2 3" xfId="696"/>
    <cellStyle name="Standaard 14 6 2 2 3 2" xfId="1215"/>
    <cellStyle name="Standaard 14 6 2 2 3 2 2" xfId="2321"/>
    <cellStyle name="Standaard 14 6 2 2 3 2 2 2" xfId="4463"/>
    <cellStyle name="Standaard 14 6 2 2 3 2 3" xfId="3412"/>
    <cellStyle name="Standaard 14 6 2 2 3 2 4" xfId="5509"/>
    <cellStyle name="Standaard 14 6 2 2 3 3" xfId="1804"/>
    <cellStyle name="Standaard 14 6 2 2 3 3 2" xfId="3946"/>
    <cellStyle name="Standaard 14 6 2 2 3 4" xfId="2895"/>
    <cellStyle name="Standaard 14 6 2 2 3 5" xfId="4992"/>
    <cellStyle name="Standaard 14 6 2 2 4" xfId="956"/>
    <cellStyle name="Standaard 14 6 2 2 4 2" xfId="2062"/>
    <cellStyle name="Standaard 14 6 2 2 4 2 2" xfId="4204"/>
    <cellStyle name="Standaard 14 6 2 2 4 3" xfId="3153"/>
    <cellStyle name="Standaard 14 6 2 2 4 4" xfId="5250"/>
    <cellStyle name="Standaard 14 6 2 2 5" xfId="1538"/>
    <cellStyle name="Standaard 14 6 2 2 5 2" xfId="3687"/>
    <cellStyle name="Standaard 14 6 2 2 6" xfId="2636"/>
    <cellStyle name="Standaard 14 6 2 2 7" xfId="4733"/>
    <cellStyle name="Standaard 14 6 2 3" xfId="462"/>
    <cellStyle name="Standaard 14 6 2 3 2" xfId="761"/>
    <cellStyle name="Standaard 14 6 2 3 2 2" xfId="1280"/>
    <cellStyle name="Standaard 14 6 2 3 2 2 2" xfId="2386"/>
    <cellStyle name="Standaard 14 6 2 3 2 2 2 2" xfId="4528"/>
    <cellStyle name="Standaard 14 6 2 3 2 2 3" xfId="3477"/>
    <cellStyle name="Standaard 14 6 2 3 2 2 4" xfId="5574"/>
    <cellStyle name="Standaard 14 6 2 3 2 3" xfId="1869"/>
    <cellStyle name="Standaard 14 6 2 3 2 3 2" xfId="4011"/>
    <cellStyle name="Standaard 14 6 2 3 2 4" xfId="2960"/>
    <cellStyle name="Standaard 14 6 2 3 2 5" xfId="5057"/>
    <cellStyle name="Standaard 14 6 2 3 3" xfId="1021"/>
    <cellStyle name="Standaard 14 6 2 3 3 2" xfId="2127"/>
    <cellStyle name="Standaard 14 6 2 3 3 2 2" xfId="4269"/>
    <cellStyle name="Standaard 14 6 2 3 3 3" xfId="3218"/>
    <cellStyle name="Standaard 14 6 2 3 3 4" xfId="5315"/>
    <cellStyle name="Standaard 14 6 2 3 4" xfId="1606"/>
    <cellStyle name="Standaard 14 6 2 3 4 2" xfId="3752"/>
    <cellStyle name="Standaard 14 6 2 3 5" xfId="2701"/>
    <cellStyle name="Standaard 14 6 2 3 6" xfId="4798"/>
    <cellStyle name="Standaard 14 6 2 4" xfId="635"/>
    <cellStyle name="Standaard 14 6 2 4 2" xfId="1154"/>
    <cellStyle name="Standaard 14 6 2 4 2 2" xfId="2260"/>
    <cellStyle name="Standaard 14 6 2 4 2 2 2" xfId="4402"/>
    <cellStyle name="Standaard 14 6 2 4 2 3" xfId="3351"/>
    <cellStyle name="Standaard 14 6 2 4 2 4" xfId="5448"/>
    <cellStyle name="Standaard 14 6 2 4 3" xfId="1743"/>
    <cellStyle name="Standaard 14 6 2 4 3 2" xfId="3885"/>
    <cellStyle name="Standaard 14 6 2 4 4" xfId="2834"/>
    <cellStyle name="Standaard 14 6 2 4 5" xfId="4931"/>
    <cellStyle name="Standaard 14 6 2 5" xfId="895"/>
    <cellStyle name="Standaard 14 6 2 5 2" xfId="2001"/>
    <cellStyle name="Standaard 14 6 2 5 2 2" xfId="4143"/>
    <cellStyle name="Standaard 14 6 2 5 3" xfId="3092"/>
    <cellStyle name="Standaard 14 6 2 5 4" xfId="5189"/>
    <cellStyle name="Standaard 14 6 2 6" xfId="1474"/>
    <cellStyle name="Standaard 14 6 2 6 2" xfId="3626"/>
    <cellStyle name="Standaard 14 6 2 7" xfId="2575"/>
    <cellStyle name="Standaard 14 6 2 8" xfId="4672"/>
    <cellStyle name="Standaard 14 6 3" xfId="351"/>
    <cellStyle name="Standaard 14 6 3 2" xfId="505"/>
    <cellStyle name="Standaard 14 6 3 2 2" xfId="804"/>
    <cellStyle name="Standaard 14 6 3 2 2 2" xfId="1323"/>
    <cellStyle name="Standaard 14 6 3 2 2 2 2" xfId="2429"/>
    <cellStyle name="Standaard 14 6 3 2 2 2 2 2" xfId="4571"/>
    <cellStyle name="Standaard 14 6 3 2 2 2 3" xfId="3520"/>
    <cellStyle name="Standaard 14 6 3 2 2 2 4" xfId="5617"/>
    <cellStyle name="Standaard 14 6 3 2 2 3" xfId="1912"/>
    <cellStyle name="Standaard 14 6 3 2 2 3 2" xfId="4054"/>
    <cellStyle name="Standaard 14 6 3 2 2 4" xfId="3003"/>
    <cellStyle name="Standaard 14 6 3 2 2 5" xfId="5100"/>
    <cellStyle name="Standaard 14 6 3 2 3" xfId="1064"/>
    <cellStyle name="Standaard 14 6 3 2 3 2" xfId="2170"/>
    <cellStyle name="Standaard 14 6 3 2 3 2 2" xfId="4312"/>
    <cellStyle name="Standaard 14 6 3 2 3 3" xfId="3261"/>
    <cellStyle name="Standaard 14 6 3 2 3 4" xfId="5358"/>
    <cellStyle name="Standaard 14 6 3 2 4" xfId="1649"/>
    <cellStyle name="Standaard 14 6 3 2 4 2" xfId="3795"/>
    <cellStyle name="Standaard 14 6 3 2 5" xfId="2744"/>
    <cellStyle name="Standaard 14 6 3 2 6" xfId="4841"/>
    <cellStyle name="Standaard 14 6 3 3" xfId="678"/>
    <cellStyle name="Standaard 14 6 3 3 2" xfId="1197"/>
    <cellStyle name="Standaard 14 6 3 3 2 2" xfId="2303"/>
    <cellStyle name="Standaard 14 6 3 3 2 2 2" xfId="4445"/>
    <cellStyle name="Standaard 14 6 3 3 2 3" xfId="3394"/>
    <cellStyle name="Standaard 14 6 3 3 2 4" xfId="5491"/>
    <cellStyle name="Standaard 14 6 3 3 3" xfId="1786"/>
    <cellStyle name="Standaard 14 6 3 3 3 2" xfId="3928"/>
    <cellStyle name="Standaard 14 6 3 3 4" xfId="2877"/>
    <cellStyle name="Standaard 14 6 3 3 5" xfId="4974"/>
    <cellStyle name="Standaard 14 6 3 4" xfId="938"/>
    <cellStyle name="Standaard 14 6 3 4 2" xfId="2044"/>
    <cellStyle name="Standaard 14 6 3 4 2 2" xfId="4186"/>
    <cellStyle name="Standaard 14 6 3 4 3" xfId="3135"/>
    <cellStyle name="Standaard 14 6 3 4 4" xfId="5232"/>
    <cellStyle name="Standaard 14 6 3 5" xfId="1519"/>
    <cellStyle name="Standaard 14 6 3 5 2" xfId="3669"/>
    <cellStyle name="Standaard 14 6 3 6" xfId="2618"/>
    <cellStyle name="Standaard 14 6 3 7" xfId="4715"/>
    <cellStyle name="Standaard 14 6 4" xfId="406"/>
    <cellStyle name="Standaard 14 6 4 2" xfId="719"/>
    <cellStyle name="Standaard 14 6 4 2 2" xfId="1238"/>
    <cellStyle name="Standaard 14 6 4 2 2 2" xfId="2344"/>
    <cellStyle name="Standaard 14 6 4 2 2 2 2" xfId="4486"/>
    <cellStyle name="Standaard 14 6 4 2 2 3" xfId="3435"/>
    <cellStyle name="Standaard 14 6 4 2 2 4" xfId="5532"/>
    <cellStyle name="Standaard 14 6 4 2 3" xfId="1827"/>
    <cellStyle name="Standaard 14 6 4 2 3 2" xfId="3969"/>
    <cellStyle name="Standaard 14 6 4 2 4" xfId="2918"/>
    <cellStyle name="Standaard 14 6 4 2 5" xfId="5015"/>
    <cellStyle name="Standaard 14 6 4 3" xfId="979"/>
    <cellStyle name="Standaard 14 6 4 3 2" xfId="2085"/>
    <cellStyle name="Standaard 14 6 4 3 2 2" xfId="4227"/>
    <cellStyle name="Standaard 14 6 4 3 3" xfId="3176"/>
    <cellStyle name="Standaard 14 6 4 3 4" xfId="5273"/>
    <cellStyle name="Standaard 14 6 4 4" xfId="1562"/>
    <cellStyle name="Standaard 14 6 4 4 2" xfId="3710"/>
    <cellStyle name="Standaard 14 6 4 5" xfId="2659"/>
    <cellStyle name="Standaard 14 6 4 6" xfId="4756"/>
    <cellStyle name="Standaard 14 6 5" xfId="418"/>
    <cellStyle name="Standaard 14 6 5 2" xfId="731"/>
    <cellStyle name="Standaard 14 6 5 2 2" xfId="1250"/>
    <cellStyle name="Standaard 14 6 5 2 2 2" xfId="2356"/>
    <cellStyle name="Standaard 14 6 5 2 2 2 2" xfId="4498"/>
    <cellStyle name="Standaard 14 6 5 2 2 3" xfId="3447"/>
    <cellStyle name="Standaard 14 6 5 2 2 4" xfId="5544"/>
    <cellStyle name="Standaard 14 6 5 2 3" xfId="1839"/>
    <cellStyle name="Standaard 14 6 5 2 3 2" xfId="3981"/>
    <cellStyle name="Standaard 14 6 5 2 4" xfId="2930"/>
    <cellStyle name="Standaard 14 6 5 2 5" xfId="5027"/>
    <cellStyle name="Standaard 14 6 5 3" xfId="991"/>
    <cellStyle name="Standaard 14 6 5 3 2" xfId="2097"/>
    <cellStyle name="Standaard 14 6 5 3 2 2" xfId="4239"/>
    <cellStyle name="Standaard 14 6 5 3 3" xfId="3188"/>
    <cellStyle name="Standaard 14 6 5 3 4" xfId="5285"/>
    <cellStyle name="Standaard 14 6 5 4" xfId="1574"/>
    <cellStyle name="Standaard 14 6 5 4 2" xfId="3722"/>
    <cellStyle name="Standaard 14 6 5 5" xfId="2671"/>
    <cellStyle name="Standaard 14 6 5 6" xfId="4768"/>
    <cellStyle name="Standaard 14 6 6" xfId="617"/>
    <cellStyle name="Standaard 14 6 6 2" xfId="1136"/>
    <cellStyle name="Standaard 14 6 6 2 2" xfId="2242"/>
    <cellStyle name="Standaard 14 6 6 2 2 2" xfId="4384"/>
    <cellStyle name="Standaard 14 6 6 2 3" xfId="3333"/>
    <cellStyle name="Standaard 14 6 6 2 4" xfId="5430"/>
    <cellStyle name="Standaard 14 6 6 3" xfId="1725"/>
    <cellStyle name="Standaard 14 6 6 3 2" xfId="3867"/>
    <cellStyle name="Standaard 14 6 6 4" xfId="2816"/>
    <cellStyle name="Standaard 14 6 6 5" xfId="4913"/>
    <cellStyle name="Standaard 14 6 7" xfId="863"/>
    <cellStyle name="Standaard 14 6 7 2" xfId="1971"/>
    <cellStyle name="Standaard 14 6 7 2 2" xfId="4113"/>
    <cellStyle name="Standaard 14 6 7 3" xfId="3062"/>
    <cellStyle name="Standaard 14 6 7 4" xfId="5159"/>
    <cellStyle name="Standaard 14 6 8" xfId="1394"/>
    <cellStyle name="Standaard 14 6 8 2" xfId="2488"/>
    <cellStyle name="Standaard 14 6 8 2 2" xfId="4630"/>
    <cellStyle name="Standaard 14 6 8 3" xfId="3579"/>
    <cellStyle name="Standaard 14 6 8 4" xfId="5676"/>
    <cellStyle name="Standaard 14 6 9" xfId="1420"/>
    <cellStyle name="Standaard 14 6 9 2" xfId="3595"/>
    <cellStyle name="Standaard 14 7" xfId="336"/>
    <cellStyle name="Standaard 14 7 2" xfId="491"/>
    <cellStyle name="Standaard 14 7 2 2" xfId="790"/>
    <cellStyle name="Standaard 14 7 2 2 2" xfId="1309"/>
    <cellStyle name="Standaard 14 7 2 2 2 2" xfId="2415"/>
    <cellStyle name="Standaard 14 7 2 2 2 2 2" xfId="4557"/>
    <cellStyle name="Standaard 14 7 2 2 2 3" xfId="3506"/>
    <cellStyle name="Standaard 14 7 2 2 2 4" xfId="5603"/>
    <cellStyle name="Standaard 14 7 2 2 3" xfId="1898"/>
    <cellStyle name="Standaard 14 7 2 2 3 2" xfId="4040"/>
    <cellStyle name="Standaard 14 7 2 2 4" xfId="2989"/>
    <cellStyle name="Standaard 14 7 2 2 5" xfId="5086"/>
    <cellStyle name="Standaard 14 7 2 3" xfId="1050"/>
    <cellStyle name="Standaard 14 7 2 3 2" xfId="2156"/>
    <cellStyle name="Standaard 14 7 2 3 2 2" xfId="4298"/>
    <cellStyle name="Standaard 14 7 2 3 3" xfId="3247"/>
    <cellStyle name="Standaard 14 7 2 3 4" xfId="5344"/>
    <cellStyle name="Standaard 14 7 2 4" xfId="1635"/>
    <cellStyle name="Standaard 14 7 2 4 2" xfId="3781"/>
    <cellStyle name="Standaard 14 7 2 5" xfId="2730"/>
    <cellStyle name="Standaard 14 7 2 6" xfId="4827"/>
    <cellStyle name="Standaard 14 7 3" xfId="664"/>
    <cellStyle name="Standaard 14 7 3 2" xfId="1183"/>
    <cellStyle name="Standaard 14 7 3 2 2" xfId="2289"/>
    <cellStyle name="Standaard 14 7 3 2 2 2" xfId="4431"/>
    <cellStyle name="Standaard 14 7 3 2 3" xfId="3380"/>
    <cellStyle name="Standaard 14 7 3 2 4" xfId="5477"/>
    <cellStyle name="Standaard 14 7 3 3" xfId="1772"/>
    <cellStyle name="Standaard 14 7 3 3 2" xfId="3914"/>
    <cellStyle name="Standaard 14 7 3 4" xfId="2863"/>
    <cellStyle name="Standaard 14 7 3 5" xfId="4960"/>
    <cellStyle name="Standaard 14 7 4" xfId="924"/>
    <cellStyle name="Standaard 14 7 4 2" xfId="2030"/>
    <cellStyle name="Standaard 14 7 4 2 2" xfId="4172"/>
    <cellStyle name="Standaard 14 7 4 3" xfId="3121"/>
    <cellStyle name="Standaard 14 7 4 4" xfId="5218"/>
    <cellStyle name="Standaard 14 7 5" xfId="1505"/>
    <cellStyle name="Standaard 14 7 5 2" xfId="3655"/>
    <cellStyle name="Standaard 14 7 6" xfId="2604"/>
    <cellStyle name="Standaard 14 7 7" xfId="4701"/>
    <cellStyle name="Standaard 14 8" xfId="603"/>
    <cellStyle name="Standaard 14 8 2" xfId="1122"/>
    <cellStyle name="Standaard 14 8 2 2" xfId="2228"/>
    <cellStyle name="Standaard 14 8 2 2 2" xfId="4370"/>
    <cellStyle name="Standaard 14 8 2 3" xfId="3319"/>
    <cellStyle name="Standaard 14 8 2 4" xfId="5416"/>
    <cellStyle name="Standaard 14 8 3" xfId="1711"/>
    <cellStyle name="Standaard 14 8 3 2" xfId="3853"/>
    <cellStyle name="Standaard 14 8 4" xfId="2802"/>
    <cellStyle name="Standaard 14 8 5" xfId="4899"/>
    <cellStyle name="Standaard 15" xfId="53"/>
    <cellStyle name="Standaard 15 2" xfId="57"/>
    <cellStyle name="Standaard 16" xfId="34"/>
    <cellStyle name="Standaard 16 10" xfId="1421"/>
    <cellStyle name="Standaard 16 10 2" xfId="3596"/>
    <cellStyle name="Standaard 16 11" xfId="2545"/>
    <cellStyle name="Standaard 16 12" xfId="4643"/>
    <cellStyle name="Standaard 16 2" xfId="68"/>
    <cellStyle name="Standaard 16 2 2" xfId="313"/>
    <cellStyle name="Standaard 16 2 2 2" xfId="384"/>
    <cellStyle name="Standaard 16 2 2 2 2" xfId="535"/>
    <cellStyle name="Standaard 16 2 2 2 2 2" xfId="834"/>
    <cellStyle name="Standaard 16 2 2 2 2 2 2" xfId="1353"/>
    <cellStyle name="Standaard 16 2 2 2 2 2 2 2" xfId="2459"/>
    <cellStyle name="Standaard 16 2 2 2 2 2 2 2 2" xfId="4601"/>
    <cellStyle name="Standaard 16 2 2 2 2 2 2 3" xfId="3550"/>
    <cellStyle name="Standaard 16 2 2 2 2 2 2 4" xfId="5647"/>
    <cellStyle name="Standaard 16 2 2 2 2 2 3" xfId="1942"/>
    <cellStyle name="Standaard 16 2 2 2 2 2 3 2" xfId="4084"/>
    <cellStyle name="Standaard 16 2 2 2 2 2 4" xfId="3033"/>
    <cellStyle name="Standaard 16 2 2 2 2 2 5" xfId="5130"/>
    <cellStyle name="Standaard 16 2 2 2 2 3" xfId="1094"/>
    <cellStyle name="Standaard 16 2 2 2 2 3 2" xfId="2200"/>
    <cellStyle name="Standaard 16 2 2 2 2 3 2 2" xfId="4342"/>
    <cellStyle name="Standaard 16 2 2 2 2 3 3" xfId="3291"/>
    <cellStyle name="Standaard 16 2 2 2 2 3 4" xfId="5388"/>
    <cellStyle name="Standaard 16 2 2 2 2 4" xfId="1679"/>
    <cellStyle name="Standaard 16 2 2 2 2 4 2" xfId="3825"/>
    <cellStyle name="Standaard 16 2 2 2 2 5" xfId="2774"/>
    <cellStyle name="Standaard 16 2 2 2 2 6" xfId="4871"/>
    <cellStyle name="Standaard 16 2 2 2 3" xfId="708"/>
    <cellStyle name="Standaard 16 2 2 2 3 2" xfId="1227"/>
    <cellStyle name="Standaard 16 2 2 2 3 2 2" xfId="2333"/>
    <cellStyle name="Standaard 16 2 2 2 3 2 2 2" xfId="4475"/>
    <cellStyle name="Standaard 16 2 2 2 3 2 3" xfId="3424"/>
    <cellStyle name="Standaard 16 2 2 2 3 2 4" xfId="5521"/>
    <cellStyle name="Standaard 16 2 2 2 3 3" xfId="1816"/>
    <cellStyle name="Standaard 16 2 2 2 3 3 2" xfId="3958"/>
    <cellStyle name="Standaard 16 2 2 2 3 4" xfId="2907"/>
    <cellStyle name="Standaard 16 2 2 2 3 5" xfId="5004"/>
    <cellStyle name="Standaard 16 2 2 2 4" xfId="968"/>
    <cellStyle name="Standaard 16 2 2 2 4 2" xfId="2074"/>
    <cellStyle name="Standaard 16 2 2 2 4 2 2" xfId="4216"/>
    <cellStyle name="Standaard 16 2 2 2 4 3" xfId="3165"/>
    <cellStyle name="Standaard 16 2 2 2 4 4" xfId="5262"/>
    <cellStyle name="Standaard 16 2 2 2 5" xfId="1550"/>
    <cellStyle name="Standaard 16 2 2 2 5 2" xfId="3699"/>
    <cellStyle name="Standaard 16 2 2 2 6" xfId="2648"/>
    <cellStyle name="Standaard 16 2 2 2 7" xfId="4745"/>
    <cellStyle name="Standaard 16 2 2 3" xfId="474"/>
    <cellStyle name="Standaard 16 2 2 3 2" xfId="773"/>
    <cellStyle name="Standaard 16 2 2 3 2 2" xfId="1292"/>
    <cellStyle name="Standaard 16 2 2 3 2 2 2" xfId="2398"/>
    <cellStyle name="Standaard 16 2 2 3 2 2 2 2" xfId="4540"/>
    <cellStyle name="Standaard 16 2 2 3 2 2 3" xfId="3489"/>
    <cellStyle name="Standaard 16 2 2 3 2 2 4" xfId="5586"/>
    <cellStyle name="Standaard 16 2 2 3 2 3" xfId="1881"/>
    <cellStyle name="Standaard 16 2 2 3 2 3 2" xfId="4023"/>
    <cellStyle name="Standaard 16 2 2 3 2 4" xfId="2972"/>
    <cellStyle name="Standaard 16 2 2 3 2 5" xfId="5069"/>
    <cellStyle name="Standaard 16 2 2 3 3" xfId="1033"/>
    <cellStyle name="Standaard 16 2 2 3 3 2" xfId="2139"/>
    <cellStyle name="Standaard 16 2 2 3 3 2 2" xfId="4281"/>
    <cellStyle name="Standaard 16 2 2 3 3 3" xfId="3230"/>
    <cellStyle name="Standaard 16 2 2 3 3 4" xfId="5327"/>
    <cellStyle name="Standaard 16 2 2 3 4" xfId="1618"/>
    <cellStyle name="Standaard 16 2 2 3 4 2" xfId="3764"/>
    <cellStyle name="Standaard 16 2 2 3 5" xfId="2713"/>
    <cellStyle name="Standaard 16 2 2 3 6" xfId="4810"/>
    <cellStyle name="Standaard 16 2 2 4" xfId="647"/>
    <cellStyle name="Standaard 16 2 2 4 2" xfId="1166"/>
    <cellStyle name="Standaard 16 2 2 4 2 2" xfId="2272"/>
    <cellStyle name="Standaard 16 2 2 4 2 2 2" xfId="4414"/>
    <cellStyle name="Standaard 16 2 2 4 2 3" xfId="3363"/>
    <cellStyle name="Standaard 16 2 2 4 2 4" xfId="5460"/>
    <cellStyle name="Standaard 16 2 2 4 3" xfId="1755"/>
    <cellStyle name="Standaard 16 2 2 4 3 2" xfId="3897"/>
    <cellStyle name="Standaard 16 2 2 4 4" xfId="2846"/>
    <cellStyle name="Standaard 16 2 2 4 5" xfId="4943"/>
    <cellStyle name="Standaard 16 2 2 5" xfId="907"/>
    <cellStyle name="Standaard 16 2 2 5 2" xfId="2013"/>
    <cellStyle name="Standaard 16 2 2 5 2 2" xfId="4155"/>
    <cellStyle name="Standaard 16 2 2 5 3" xfId="3104"/>
    <cellStyle name="Standaard 16 2 2 5 4" xfId="5201"/>
    <cellStyle name="Standaard 16 2 2 6" xfId="1486"/>
    <cellStyle name="Standaard 16 2 2 6 2" xfId="3638"/>
    <cellStyle name="Standaard 16 2 2 7" xfId="2587"/>
    <cellStyle name="Standaard 16 2 2 8" xfId="4684"/>
    <cellStyle name="Standaard 16 2 3" xfId="352"/>
    <cellStyle name="Standaard 16 2 3 2" xfId="506"/>
    <cellStyle name="Standaard 16 2 3 2 2" xfId="805"/>
    <cellStyle name="Standaard 16 2 3 2 2 2" xfId="1324"/>
    <cellStyle name="Standaard 16 2 3 2 2 2 2" xfId="2430"/>
    <cellStyle name="Standaard 16 2 3 2 2 2 2 2" xfId="4572"/>
    <cellStyle name="Standaard 16 2 3 2 2 2 3" xfId="3521"/>
    <cellStyle name="Standaard 16 2 3 2 2 2 4" xfId="5618"/>
    <cellStyle name="Standaard 16 2 3 2 2 3" xfId="1913"/>
    <cellStyle name="Standaard 16 2 3 2 2 3 2" xfId="4055"/>
    <cellStyle name="Standaard 16 2 3 2 2 4" xfId="3004"/>
    <cellStyle name="Standaard 16 2 3 2 2 5" xfId="5101"/>
    <cellStyle name="Standaard 16 2 3 2 3" xfId="1065"/>
    <cellStyle name="Standaard 16 2 3 2 3 2" xfId="2171"/>
    <cellStyle name="Standaard 16 2 3 2 3 2 2" xfId="4313"/>
    <cellStyle name="Standaard 16 2 3 2 3 3" xfId="3262"/>
    <cellStyle name="Standaard 16 2 3 2 3 4" xfId="5359"/>
    <cellStyle name="Standaard 16 2 3 2 4" xfId="1650"/>
    <cellStyle name="Standaard 16 2 3 2 4 2" xfId="3796"/>
    <cellStyle name="Standaard 16 2 3 2 5" xfId="2745"/>
    <cellStyle name="Standaard 16 2 3 2 6" xfId="4842"/>
    <cellStyle name="Standaard 16 2 3 3" xfId="679"/>
    <cellStyle name="Standaard 16 2 3 3 2" xfId="1198"/>
    <cellStyle name="Standaard 16 2 3 3 2 2" xfId="2304"/>
    <cellStyle name="Standaard 16 2 3 3 2 2 2" xfId="4446"/>
    <cellStyle name="Standaard 16 2 3 3 2 3" xfId="3395"/>
    <cellStyle name="Standaard 16 2 3 3 2 4" xfId="5492"/>
    <cellStyle name="Standaard 16 2 3 3 3" xfId="1787"/>
    <cellStyle name="Standaard 16 2 3 3 3 2" xfId="3929"/>
    <cellStyle name="Standaard 16 2 3 3 4" xfId="2878"/>
    <cellStyle name="Standaard 16 2 3 3 5" xfId="4975"/>
    <cellStyle name="Standaard 16 2 3 4" xfId="939"/>
    <cellStyle name="Standaard 16 2 3 4 2" xfId="2045"/>
    <cellStyle name="Standaard 16 2 3 4 2 2" xfId="4187"/>
    <cellStyle name="Standaard 16 2 3 4 3" xfId="3136"/>
    <cellStyle name="Standaard 16 2 3 4 4" xfId="5233"/>
    <cellStyle name="Standaard 16 2 3 5" xfId="1520"/>
    <cellStyle name="Standaard 16 2 3 5 2" xfId="3670"/>
    <cellStyle name="Standaard 16 2 3 6" xfId="2619"/>
    <cellStyle name="Standaard 16 2 3 7" xfId="4716"/>
    <cellStyle name="Standaard 16 2 4" xfId="437"/>
    <cellStyle name="Standaard 16 2 4 2" xfId="744"/>
    <cellStyle name="Standaard 16 2 4 2 2" xfId="1263"/>
    <cellStyle name="Standaard 16 2 4 2 2 2" xfId="2369"/>
    <cellStyle name="Standaard 16 2 4 2 2 2 2" xfId="4511"/>
    <cellStyle name="Standaard 16 2 4 2 2 3" xfId="3460"/>
    <cellStyle name="Standaard 16 2 4 2 2 4" xfId="5557"/>
    <cellStyle name="Standaard 16 2 4 2 3" xfId="1852"/>
    <cellStyle name="Standaard 16 2 4 2 3 2" xfId="3994"/>
    <cellStyle name="Standaard 16 2 4 2 4" xfId="2943"/>
    <cellStyle name="Standaard 16 2 4 2 5" xfId="5040"/>
    <cellStyle name="Standaard 16 2 4 3" xfId="1004"/>
    <cellStyle name="Standaard 16 2 4 3 2" xfId="2110"/>
    <cellStyle name="Standaard 16 2 4 3 2 2" xfId="4252"/>
    <cellStyle name="Standaard 16 2 4 3 3" xfId="3201"/>
    <cellStyle name="Standaard 16 2 4 3 4" xfId="5298"/>
    <cellStyle name="Standaard 16 2 4 4" xfId="1587"/>
    <cellStyle name="Standaard 16 2 4 4 2" xfId="3735"/>
    <cellStyle name="Standaard 16 2 4 5" xfId="2684"/>
    <cellStyle name="Standaard 16 2 4 6" xfId="4781"/>
    <cellStyle name="Standaard 16 2 5" xfId="618"/>
    <cellStyle name="Standaard 16 2 5 2" xfId="1137"/>
    <cellStyle name="Standaard 16 2 5 2 2" xfId="2243"/>
    <cellStyle name="Standaard 16 2 5 2 2 2" xfId="4385"/>
    <cellStyle name="Standaard 16 2 5 2 3" xfId="3334"/>
    <cellStyle name="Standaard 16 2 5 2 4" xfId="5431"/>
    <cellStyle name="Standaard 16 2 5 3" xfId="1726"/>
    <cellStyle name="Standaard 16 2 5 3 2" xfId="3868"/>
    <cellStyle name="Standaard 16 2 5 4" xfId="2817"/>
    <cellStyle name="Standaard 16 2 5 5" xfId="4914"/>
    <cellStyle name="Standaard 16 2 6" xfId="878"/>
    <cellStyle name="Standaard 16 2 6 2" xfId="1984"/>
    <cellStyle name="Standaard 16 2 6 2 2" xfId="4126"/>
    <cellStyle name="Standaard 16 2 6 3" xfId="3075"/>
    <cellStyle name="Standaard 16 2 6 4" xfId="5172"/>
    <cellStyle name="Standaard 16 2 7" xfId="1436"/>
    <cellStyle name="Standaard 16 2 7 2" xfId="3609"/>
    <cellStyle name="Standaard 16 2 8" xfId="2558"/>
    <cellStyle name="Standaard 16 2 9" xfId="4655"/>
    <cellStyle name="Standaard 16 3" xfId="300"/>
    <cellStyle name="Standaard 16 3 2" xfId="373"/>
    <cellStyle name="Standaard 16 3 2 2" xfId="524"/>
    <cellStyle name="Standaard 16 3 2 2 2" xfId="823"/>
    <cellStyle name="Standaard 16 3 2 2 2 2" xfId="1342"/>
    <cellStyle name="Standaard 16 3 2 2 2 2 2" xfId="2448"/>
    <cellStyle name="Standaard 16 3 2 2 2 2 2 2" xfId="4590"/>
    <cellStyle name="Standaard 16 3 2 2 2 2 3" xfId="3539"/>
    <cellStyle name="Standaard 16 3 2 2 2 2 4" xfId="5636"/>
    <cellStyle name="Standaard 16 3 2 2 2 3" xfId="1931"/>
    <cellStyle name="Standaard 16 3 2 2 2 3 2" xfId="4073"/>
    <cellStyle name="Standaard 16 3 2 2 2 4" xfId="3022"/>
    <cellStyle name="Standaard 16 3 2 2 2 5" xfId="5119"/>
    <cellStyle name="Standaard 16 3 2 2 3" xfId="1083"/>
    <cellStyle name="Standaard 16 3 2 2 3 2" xfId="2189"/>
    <cellStyle name="Standaard 16 3 2 2 3 2 2" xfId="4331"/>
    <cellStyle name="Standaard 16 3 2 2 3 3" xfId="3280"/>
    <cellStyle name="Standaard 16 3 2 2 3 4" xfId="5377"/>
    <cellStyle name="Standaard 16 3 2 2 4" xfId="1668"/>
    <cellStyle name="Standaard 16 3 2 2 4 2" xfId="3814"/>
    <cellStyle name="Standaard 16 3 2 2 5" xfId="2763"/>
    <cellStyle name="Standaard 16 3 2 2 6" xfId="4860"/>
    <cellStyle name="Standaard 16 3 2 3" xfId="697"/>
    <cellStyle name="Standaard 16 3 2 3 2" xfId="1216"/>
    <cellStyle name="Standaard 16 3 2 3 2 2" xfId="2322"/>
    <cellStyle name="Standaard 16 3 2 3 2 2 2" xfId="4464"/>
    <cellStyle name="Standaard 16 3 2 3 2 3" xfId="3413"/>
    <cellStyle name="Standaard 16 3 2 3 2 4" xfId="5510"/>
    <cellStyle name="Standaard 16 3 2 3 3" xfId="1805"/>
    <cellStyle name="Standaard 16 3 2 3 3 2" xfId="3947"/>
    <cellStyle name="Standaard 16 3 2 3 4" xfId="2896"/>
    <cellStyle name="Standaard 16 3 2 3 5" xfId="4993"/>
    <cellStyle name="Standaard 16 3 2 4" xfId="957"/>
    <cellStyle name="Standaard 16 3 2 4 2" xfId="2063"/>
    <cellStyle name="Standaard 16 3 2 4 2 2" xfId="4205"/>
    <cellStyle name="Standaard 16 3 2 4 3" xfId="3154"/>
    <cellStyle name="Standaard 16 3 2 4 4" xfId="5251"/>
    <cellStyle name="Standaard 16 3 2 5" xfId="1539"/>
    <cellStyle name="Standaard 16 3 2 5 2" xfId="3688"/>
    <cellStyle name="Standaard 16 3 2 6" xfId="2637"/>
    <cellStyle name="Standaard 16 3 2 7" xfId="4734"/>
    <cellStyle name="Standaard 16 3 3" xfId="463"/>
    <cellStyle name="Standaard 16 3 3 2" xfId="762"/>
    <cellStyle name="Standaard 16 3 3 2 2" xfId="1281"/>
    <cellStyle name="Standaard 16 3 3 2 2 2" xfId="2387"/>
    <cellStyle name="Standaard 16 3 3 2 2 2 2" xfId="4529"/>
    <cellStyle name="Standaard 16 3 3 2 2 3" xfId="3478"/>
    <cellStyle name="Standaard 16 3 3 2 2 4" xfId="5575"/>
    <cellStyle name="Standaard 16 3 3 2 3" xfId="1870"/>
    <cellStyle name="Standaard 16 3 3 2 3 2" xfId="4012"/>
    <cellStyle name="Standaard 16 3 3 2 4" xfId="2961"/>
    <cellStyle name="Standaard 16 3 3 2 5" xfId="5058"/>
    <cellStyle name="Standaard 16 3 3 3" xfId="1022"/>
    <cellStyle name="Standaard 16 3 3 3 2" xfId="2128"/>
    <cellStyle name="Standaard 16 3 3 3 2 2" xfId="4270"/>
    <cellStyle name="Standaard 16 3 3 3 3" xfId="3219"/>
    <cellStyle name="Standaard 16 3 3 3 4" xfId="5316"/>
    <cellStyle name="Standaard 16 3 3 4" xfId="1607"/>
    <cellStyle name="Standaard 16 3 3 4 2" xfId="3753"/>
    <cellStyle name="Standaard 16 3 3 5" xfId="2702"/>
    <cellStyle name="Standaard 16 3 3 6" xfId="4799"/>
    <cellStyle name="Standaard 16 3 4" xfId="636"/>
    <cellStyle name="Standaard 16 3 4 2" xfId="1155"/>
    <cellStyle name="Standaard 16 3 4 2 2" xfId="2261"/>
    <cellStyle name="Standaard 16 3 4 2 2 2" xfId="4403"/>
    <cellStyle name="Standaard 16 3 4 2 3" xfId="3352"/>
    <cellStyle name="Standaard 16 3 4 2 4" xfId="5449"/>
    <cellStyle name="Standaard 16 3 4 3" xfId="1744"/>
    <cellStyle name="Standaard 16 3 4 3 2" xfId="3886"/>
    <cellStyle name="Standaard 16 3 4 4" xfId="2835"/>
    <cellStyle name="Standaard 16 3 4 5" xfId="4932"/>
    <cellStyle name="Standaard 16 3 5" xfId="896"/>
    <cellStyle name="Standaard 16 3 5 2" xfId="2002"/>
    <cellStyle name="Standaard 16 3 5 2 2" xfId="4144"/>
    <cellStyle name="Standaard 16 3 5 3" xfId="3093"/>
    <cellStyle name="Standaard 16 3 5 4" xfId="5190"/>
    <cellStyle name="Standaard 16 3 6" xfId="1475"/>
    <cellStyle name="Standaard 16 3 6 2" xfId="3627"/>
    <cellStyle name="Standaard 16 3 7" xfId="2576"/>
    <cellStyle name="Standaard 16 3 8" xfId="4673"/>
    <cellStyle name="Standaard 16 4" xfId="337"/>
    <cellStyle name="Standaard 16 4 2" xfId="492"/>
    <cellStyle name="Standaard 16 4 2 2" xfId="791"/>
    <cellStyle name="Standaard 16 4 2 2 2" xfId="1310"/>
    <cellStyle name="Standaard 16 4 2 2 2 2" xfId="2416"/>
    <cellStyle name="Standaard 16 4 2 2 2 2 2" xfId="4558"/>
    <cellStyle name="Standaard 16 4 2 2 2 3" xfId="3507"/>
    <cellStyle name="Standaard 16 4 2 2 2 4" xfId="5604"/>
    <cellStyle name="Standaard 16 4 2 2 3" xfId="1899"/>
    <cellStyle name="Standaard 16 4 2 2 3 2" xfId="4041"/>
    <cellStyle name="Standaard 16 4 2 2 4" xfId="2990"/>
    <cellStyle name="Standaard 16 4 2 2 5" xfId="5087"/>
    <cellStyle name="Standaard 16 4 2 3" xfId="1051"/>
    <cellStyle name="Standaard 16 4 2 3 2" xfId="2157"/>
    <cellStyle name="Standaard 16 4 2 3 2 2" xfId="4299"/>
    <cellStyle name="Standaard 16 4 2 3 3" xfId="3248"/>
    <cellStyle name="Standaard 16 4 2 3 4" xfId="5345"/>
    <cellStyle name="Standaard 16 4 2 4" xfId="1636"/>
    <cellStyle name="Standaard 16 4 2 4 2" xfId="3782"/>
    <cellStyle name="Standaard 16 4 2 5" xfId="2731"/>
    <cellStyle name="Standaard 16 4 2 6" xfId="4828"/>
    <cellStyle name="Standaard 16 4 3" xfId="665"/>
    <cellStyle name="Standaard 16 4 3 2" xfId="1184"/>
    <cellStyle name="Standaard 16 4 3 2 2" xfId="2290"/>
    <cellStyle name="Standaard 16 4 3 2 2 2" xfId="4432"/>
    <cellStyle name="Standaard 16 4 3 2 3" xfId="3381"/>
    <cellStyle name="Standaard 16 4 3 2 4" xfId="5478"/>
    <cellStyle name="Standaard 16 4 3 3" xfId="1773"/>
    <cellStyle name="Standaard 16 4 3 3 2" xfId="3915"/>
    <cellStyle name="Standaard 16 4 3 4" xfId="2864"/>
    <cellStyle name="Standaard 16 4 3 5" xfId="4961"/>
    <cellStyle name="Standaard 16 4 4" xfId="925"/>
    <cellStyle name="Standaard 16 4 4 2" xfId="2031"/>
    <cellStyle name="Standaard 16 4 4 2 2" xfId="4173"/>
    <cellStyle name="Standaard 16 4 4 3" xfId="3122"/>
    <cellStyle name="Standaard 16 4 4 4" xfId="5219"/>
    <cellStyle name="Standaard 16 4 5" xfId="1506"/>
    <cellStyle name="Standaard 16 4 5 2" xfId="3656"/>
    <cellStyle name="Standaard 16 4 6" xfId="2605"/>
    <cellStyle name="Standaard 16 4 7" xfId="4702"/>
    <cellStyle name="Standaard 16 5" xfId="407"/>
    <cellStyle name="Standaard 16 5 2" xfId="720"/>
    <cellStyle name="Standaard 16 5 2 2" xfId="1239"/>
    <cellStyle name="Standaard 16 5 2 2 2" xfId="2345"/>
    <cellStyle name="Standaard 16 5 2 2 2 2" xfId="4487"/>
    <cellStyle name="Standaard 16 5 2 2 3" xfId="3436"/>
    <cellStyle name="Standaard 16 5 2 2 4" xfId="5533"/>
    <cellStyle name="Standaard 16 5 2 3" xfId="1828"/>
    <cellStyle name="Standaard 16 5 2 3 2" xfId="3970"/>
    <cellStyle name="Standaard 16 5 2 4" xfId="2919"/>
    <cellStyle name="Standaard 16 5 2 5" xfId="5016"/>
    <cellStyle name="Standaard 16 5 3" xfId="980"/>
    <cellStyle name="Standaard 16 5 3 2" xfId="2086"/>
    <cellStyle name="Standaard 16 5 3 2 2" xfId="4228"/>
    <cellStyle name="Standaard 16 5 3 3" xfId="3177"/>
    <cellStyle name="Standaard 16 5 3 4" xfId="5274"/>
    <cellStyle name="Standaard 16 5 4" xfId="1563"/>
    <cellStyle name="Standaard 16 5 4 2" xfId="3711"/>
    <cellStyle name="Standaard 16 5 5" xfId="2660"/>
    <cellStyle name="Standaard 16 5 6" xfId="4757"/>
    <cellStyle name="Standaard 16 6" xfId="419"/>
    <cellStyle name="Standaard 16 6 2" xfId="732"/>
    <cellStyle name="Standaard 16 6 2 2" xfId="1251"/>
    <cellStyle name="Standaard 16 6 2 2 2" xfId="2357"/>
    <cellStyle name="Standaard 16 6 2 2 2 2" xfId="4499"/>
    <cellStyle name="Standaard 16 6 2 2 3" xfId="3448"/>
    <cellStyle name="Standaard 16 6 2 2 4" xfId="5545"/>
    <cellStyle name="Standaard 16 6 2 3" xfId="1840"/>
    <cellStyle name="Standaard 16 6 2 3 2" xfId="3982"/>
    <cellStyle name="Standaard 16 6 2 4" xfId="2931"/>
    <cellStyle name="Standaard 16 6 2 5" xfId="5028"/>
    <cellStyle name="Standaard 16 6 3" xfId="992"/>
    <cellStyle name="Standaard 16 6 3 2" xfId="2098"/>
    <cellStyle name="Standaard 16 6 3 2 2" xfId="4240"/>
    <cellStyle name="Standaard 16 6 3 3" xfId="3189"/>
    <cellStyle name="Standaard 16 6 3 4" xfId="5286"/>
    <cellStyle name="Standaard 16 6 4" xfId="1575"/>
    <cellStyle name="Standaard 16 6 4 2" xfId="3723"/>
    <cellStyle name="Standaard 16 6 5" xfId="2672"/>
    <cellStyle name="Standaard 16 6 6" xfId="4769"/>
    <cellStyle name="Standaard 16 7" xfId="604"/>
    <cellStyle name="Standaard 16 7 2" xfId="1123"/>
    <cellStyle name="Standaard 16 7 2 2" xfId="2229"/>
    <cellStyle name="Standaard 16 7 2 2 2" xfId="4371"/>
    <cellStyle name="Standaard 16 7 2 3" xfId="3320"/>
    <cellStyle name="Standaard 16 7 2 4" xfId="5417"/>
    <cellStyle name="Standaard 16 7 3" xfId="1712"/>
    <cellStyle name="Standaard 16 7 3 2" xfId="3854"/>
    <cellStyle name="Standaard 16 7 4" xfId="2803"/>
    <cellStyle name="Standaard 16 7 5" xfId="4900"/>
    <cellStyle name="Standaard 16 8" xfId="864"/>
    <cellStyle name="Standaard 16 8 2" xfId="1972"/>
    <cellStyle name="Standaard 16 8 2 2" xfId="4114"/>
    <cellStyle name="Standaard 16 8 3" xfId="3063"/>
    <cellStyle name="Standaard 16 8 4" xfId="5160"/>
    <cellStyle name="Standaard 16 9" xfId="1395"/>
    <cellStyle name="Standaard 16 9 2" xfId="2489"/>
    <cellStyle name="Standaard 16 9 2 2" xfId="4631"/>
    <cellStyle name="Standaard 16 9 3" xfId="3580"/>
    <cellStyle name="Standaard 16 9 4" xfId="5677"/>
    <cellStyle name="Standaard 17" xfId="59"/>
    <cellStyle name="Standaard 17 10" xfId="1427"/>
    <cellStyle name="Standaard 17 10 2" xfId="3600"/>
    <cellStyle name="Standaard 17 11" xfId="2549"/>
    <cellStyle name="Standaard 17 12" xfId="4647"/>
    <cellStyle name="Standaard 17 2" xfId="72"/>
    <cellStyle name="Standaard 17 2 2" xfId="317"/>
    <cellStyle name="Standaard 17 2 2 2" xfId="388"/>
    <cellStyle name="Standaard 17 2 2 2 2" xfId="539"/>
    <cellStyle name="Standaard 17 2 2 2 2 2" xfId="838"/>
    <cellStyle name="Standaard 17 2 2 2 2 2 2" xfId="1357"/>
    <cellStyle name="Standaard 17 2 2 2 2 2 2 2" xfId="2463"/>
    <cellStyle name="Standaard 17 2 2 2 2 2 2 2 2" xfId="4605"/>
    <cellStyle name="Standaard 17 2 2 2 2 2 2 3" xfId="3554"/>
    <cellStyle name="Standaard 17 2 2 2 2 2 2 4" xfId="5651"/>
    <cellStyle name="Standaard 17 2 2 2 2 2 3" xfId="1946"/>
    <cellStyle name="Standaard 17 2 2 2 2 2 3 2" xfId="4088"/>
    <cellStyle name="Standaard 17 2 2 2 2 2 4" xfId="3037"/>
    <cellStyle name="Standaard 17 2 2 2 2 2 5" xfId="5134"/>
    <cellStyle name="Standaard 17 2 2 2 2 3" xfId="1098"/>
    <cellStyle name="Standaard 17 2 2 2 2 3 2" xfId="2204"/>
    <cellStyle name="Standaard 17 2 2 2 2 3 2 2" xfId="4346"/>
    <cellStyle name="Standaard 17 2 2 2 2 3 3" xfId="3295"/>
    <cellStyle name="Standaard 17 2 2 2 2 3 4" xfId="5392"/>
    <cellStyle name="Standaard 17 2 2 2 2 4" xfId="1683"/>
    <cellStyle name="Standaard 17 2 2 2 2 4 2" xfId="3829"/>
    <cellStyle name="Standaard 17 2 2 2 2 5" xfId="2778"/>
    <cellStyle name="Standaard 17 2 2 2 2 6" xfId="4875"/>
    <cellStyle name="Standaard 17 2 2 2 3" xfId="712"/>
    <cellStyle name="Standaard 17 2 2 2 3 2" xfId="1231"/>
    <cellStyle name="Standaard 17 2 2 2 3 2 2" xfId="2337"/>
    <cellStyle name="Standaard 17 2 2 2 3 2 2 2" xfId="4479"/>
    <cellStyle name="Standaard 17 2 2 2 3 2 3" xfId="3428"/>
    <cellStyle name="Standaard 17 2 2 2 3 2 4" xfId="5525"/>
    <cellStyle name="Standaard 17 2 2 2 3 3" xfId="1820"/>
    <cellStyle name="Standaard 17 2 2 2 3 3 2" xfId="3962"/>
    <cellStyle name="Standaard 17 2 2 2 3 4" xfId="2911"/>
    <cellStyle name="Standaard 17 2 2 2 3 5" xfId="5008"/>
    <cellStyle name="Standaard 17 2 2 2 4" xfId="972"/>
    <cellStyle name="Standaard 17 2 2 2 4 2" xfId="2078"/>
    <cellStyle name="Standaard 17 2 2 2 4 2 2" xfId="4220"/>
    <cellStyle name="Standaard 17 2 2 2 4 3" xfId="3169"/>
    <cellStyle name="Standaard 17 2 2 2 4 4" xfId="5266"/>
    <cellStyle name="Standaard 17 2 2 2 5" xfId="1554"/>
    <cellStyle name="Standaard 17 2 2 2 5 2" xfId="3703"/>
    <cellStyle name="Standaard 17 2 2 2 6" xfId="2652"/>
    <cellStyle name="Standaard 17 2 2 2 7" xfId="4749"/>
    <cellStyle name="Standaard 17 2 2 3" xfId="478"/>
    <cellStyle name="Standaard 17 2 2 3 2" xfId="777"/>
    <cellStyle name="Standaard 17 2 2 3 2 2" xfId="1296"/>
    <cellStyle name="Standaard 17 2 2 3 2 2 2" xfId="2402"/>
    <cellStyle name="Standaard 17 2 2 3 2 2 2 2" xfId="4544"/>
    <cellStyle name="Standaard 17 2 2 3 2 2 3" xfId="3493"/>
    <cellStyle name="Standaard 17 2 2 3 2 2 4" xfId="5590"/>
    <cellStyle name="Standaard 17 2 2 3 2 3" xfId="1885"/>
    <cellStyle name="Standaard 17 2 2 3 2 3 2" xfId="4027"/>
    <cellStyle name="Standaard 17 2 2 3 2 4" xfId="2976"/>
    <cellStyle name="Standaard 17 2 2 3 2 5" xfId="5073"/>
    <cellStyle name="Standaard 17 2 2 3 3" xfId="1037"/>
    <cellStyle name="Standaard 17 2 2 3 3 2" xfId="2143"/>
    <cellStyle name="Standaard 17 2 2 3 3 2 2" xfId="4285"/>
    <cellStyle name="Standaard 17 2 2 3 3 3" xfId="3234"/>
    <cellStyle name="Standaard 17 2 2 3 3 4" xfId="5331"/>
    <cellStyle name="Standaard 17 2 2 3 4" xfId="1622"/>
    <cellStyle name="Standaard 17 2 2 3 4 2" xfId="3768"/>
    <cellStyle name="Standaard 17 2 2 3 5" xfId="2717"/>
    <cellStyle name="Standaard 17 2 2 3 6" xfId="4814"/>
    <cellStyle name="Standaard 17 2 2 4" xfId="651"/>
    <cellStyle name="Standaard 17 2 2 4 2" xfId="1170"/>
    <cellStyle name="Standaard 17 2 2 4 2 2" xfId="2276"/>
    <cellStyle name="Standaard 17 2 2 4 2 2 2" xfId="4418"/>
    <cellStyle name="Standaard 17 2 2 4 2 3" xfId="3367"/>
    <cellStyle name="Standaard 17 2 2 4 2 4" xfId="5464"/>
    <cellStyle name="Standaard 17 2 2 4 3" xfId="1759"/>
    <cellStyle name="Standaard 17 2 2 4 3 2" xfId="3901"/>
    <cellStyle name="Standaard 17 2 2 4 4" xfId="2850"/>
    <cellStyle name="Standaard 17 2 2 4 5" xfId="4947"/>
    <cellStyle name="Standaard 17 2 2 5" xfId="911"/>
    <cellStyle name="Standaard 17 2 2 5 2" xfId="2017"/>
    <cellStyle name="Standaard 17 2 2 5 2 2" xfId="4159"/>
    <cellStyle name="Standaard 17 2 2 5 3" xfId="3108"/>
    <cellStyle name="Standaard 17 2 2 5 4" xfId="5205"/>
    <cellStyle name="Standaard 17 2 2 6" xfId="1490"/>
    <cellStyle name="Standaard 17 2 2 6 2" xfId="3642"/>
    <cellStyle name="Standaard 17 2 2 7" xfId="2591"/>
    <cellStyle name="Standaard 17 2 2 8" xfId="4688"/>
    <cellStyle name="Standaard 17 2 3" xfId="356"/>
    <cellStyle name="Standaard 17 2 3 2" xfId="510"/>
    <cellStyle name="Standaard 17 2 3 2 2" xfId="809"/>
    <cellStyle name="Standaard 17 2 3 2 2 2" xfId="1328"/>
    <cellStyle name="Standaard 17 2 3 2 2 2 2" xfId="2434"/>
    <cellStyle name="Standaard 17 2 3 2 2 2 2 2" xfId="4576"/>
    <cellStyle name="Standaard 17 2 3 2 2 2 3" xfId="3525"/>
    <cellStyle name="Standaard 17 2 3 2 2 2 4" xfId="5622"/>
    <cellStyle name="Standaard 17 2 3 2 2 3" xfId="1917"/>
    <cellStyle name="Standaard 17 2 3 2 2 3 2" xfId="4059"/>
    <cellStyle name="Standaard 17 2 3 2 2 4" xfId="3008"/>
    <cellStyle name="Standaard 17 2 3 2 2 5" xfId="5105"/>
    <cellStyle name="Standaard 17 2 3 2 3" xfId="1069"/>
    <cellStyle name="Standaard 17 2 3 2 3 2" xfId="2175"/>
    <cellStyle name="Standaard 17 2 3 2 3 2 2" xfId="4317"/>
    <cellStyle name="Standaard 17 2 3 2 3 3" xfId="3266"/>
    <cellStyle name="Standaard 17 2 3 2 3 4" xfId="5363"/>
    <cellStyle name="Standaard 17 2 3 2 4" xfId="1654"/>
    <cellStyle name="Standaard 17 2 3 2 4 2" xfId="3800"/>
    <cellStyle name="Standaard 17 2 3 2 5" xfId="2749"/>
    <cellStyle name="Standaard 17 2 3 2 6" xfId="4846"/>
    <cellStyle name="Standaard 17 2 3 3" xfId="683"/>
    <cellStyle name="Standaard 17 2 3 3 2" xfId="1202"/>
    <cellStyle name="Standaard 17 2 3 3 2 2" xfId="2308"/>
    <cellStyle name="Standaard 17 2 3 3 2 2 2" xfId="4450"/>
    <cellStyle name="Standaard 17 2 3 3 2 3" xfId="3399"/>
    <cellStyle name="Standaard 17 2 3 3 2 4" xfId="5496"/>
    <cellStyle name="Standaard 17 2 3 3 3" xfId="1791"/>
    <cellStyle name="Standaard 17 2 3 3 3 2" xfId="3933"/>
    <cellStyle name="Standaard 17 2 3 3 4" xfId="2882"/>
    <cellStyle name="Standaard 17 2 3 3 5" xfId="4979"/>
    <cellStyle name="Standaard 17 2 3 4" xfId="943"/>
    <cellStyle name="Standaard 17 2 3 4 2" xfId="2049"/>
    <cellStyle name="Standaard 17 2 3 4 2 2" xfId="4191"/>
    <cellStyle name="Standaard 17 2 3 4 3" xfId="3140"/>
    <cellStyle name="Standaard 17 2 3 4 4" xfId="5237"/>
    <cellStyle name="Standaard 17 2 3 5" xfId="1524"/>
    <cellStyle name="Standaard 17 2 3 5 2" xfId="3674"/>
    <cellStyle name="Standaard 17 2 3 6" xfId="2623"/>
    <cellStyle name="Standaard 17 2 3 7" xfId="4720"/>
    <cellStyle name="Standaard 17 2 4" xfId="441"/>
    <cellStyle name="Standaard 17 2 4 2" xfId="748"/>
    <cellStyle name="Standaard 17 2 4 2 2" xfId="1267"/>
    <cellStyle name="Standaard 17 2 4 2 2 2" xfId="2373"/>
    <cellStyle name="Standaard 17 2 4 2 2 2 2" xfId="4515"/>
    <cellStyle name="Standaard 17 2 4 2 2 3" xfId="3464"/>
    <cellStyle name="Standaard 17 2 4 2 2 4" xfId="5561"/>
    <cellStyle name="Standaard 17 2 4 2 3" xfId="1856"/>
    <cellStyle name="Standaard 17 2 4 2 3 2" xfId="3998"/>
    <cellStyle name="Standaard 17 2 4 2 4" xfId="2947"/>
    <cellStyle name="Standaard 17 2 4 2 5" xfId="5044"/>
    <cellStyle name="Standaard 17 2 4 3" xfId="1008"/>
    <cellStyle name="Standaard 17 2 4 3 2" xfId="2114"/>
    <cellStyle name="Standaard 17 2 4 3 2 2" xfId="4256"/>
    <cellStyle name="Standaard 17 2 4 3 3" xfId="3205"/>
    <cellStyle name="Standaard 17 2 4 3 4" xfId="5302"/>
    <cellStyle name="Standaard 17 2 4 4" xfId="1591"/>
    <cellStyle name="Standaard 17 2 4 4 2" xfId="3739"/>
    <cellStyle name="Standaard 17 2 4 5" xfId="2688"/>
    <cellStyle name="Standaard 17 2 4 6" xfId="4785"/>
    <cellStyle name="Standaard 17 2 5" xfId="622"/>
    <cellStyle name="Standaard 17 2 5 2" xfId="1141"/>
    <cellStyle name="Standaard 17 2 5 2 2" xfId="2247"/>
    <cellStyle name="Standaard 17 2 5 2 2 2" xfId="4389"/>
    <cellStyle name="Standaard 17 2 5 2 3" xfId="3338"/>
    <cellStyle name="Standaard 17 2 5 2 4" xfId="5435"/>
    <cellStyle name="Standaard 17 2 5 3" xfId="1730"/>
    <cellStyle name="Standaard 17 2 5 3 2" xfId="3872"/>
    <cellStyle name="Standaard 17 2 5 4" xfId="2821"/>
    <cellStyle name="Standaard 17 2 5 5" xfId="4918"/>
    <cellStyle name="Standaard 17 2 6" xfId="882"/>
    <cellStyle name="Standaard 17 2 6 2" xfId="1988"/>
    <cellStyle name="Standaard 17 2 6 2 2" xfId="4130"/>
    <cellStyle name="Standaard 17 2 6 3" xfId="3079"/>
    <cellStyle name="Standaard 17 2 6 4" xfId="5176"/>
    <cellStyle name="Standaard 17 2 7" xfId="1440"/>
    <cellStyle name="Standaard 17 2 7 2" xfId="3613"/>
    <cellStyle name="Standaard 17 2 8" xfId="2562"/>
    <cellStyle name="Standaard 17 2 9" xfId="4659"/>
    <cellStyle name="Standaard 17 3" xfId="305"/>
    <cellStyle name="Standaard 17 3 2" xfId="377"/>
    <cellStyle name="Standaard 17 3 2 2" xfId="528"/>
    <cellStyle name="Standaard 17 3 2 2 2" xfId="827"/>
    <cellStyle name="Standaard 17 3 2 2 2 2" xfId="1346"/>
    <cellStyle name="Standaard 17 3 2 2 2 2 2" xfId="2452"/>
    <cellStyle name="Standaard 17 3 2 2 2 2 2 2" xfId="4594"/>
    <cellStyle name="Standaard 17 3 2 2 2 2 3" xfId="3543"/>
    <cellStyle name="Standaard 17 3 2 2 2 2 4" xfId="5640"/>
    <cellStyle name="Standaard 17 3 2 2 2 3" xfId="1935"/>
    <cellStyle name="Standaard 17 3 2 2 2 3 2" xfId="4077"/>
    <cellStyle name="Standaard 17 3 2 2 2 4" xfId="3026"/>
    <cellStyle name="Standaard 17 3 2 2 2 5" xfId="5123"/>
    <cellStyle name="Standaard 17 3 2 2 3" xfId="1087"/>
    <cellStyle name="Standaard 17 3 2 2 3 2" xfId="2193"/>
    <cellStyle name="Standaard 17 3 2 2 3 2 2" xfId="4335"/>
    <cellStyle name="Standaard 17 3 2 2 3 3" xfId="3284"/>
    <cellStyle name="Standaard 17 3 2 2 3 4" xfId="5381"/>
    <cellStyle name="Standaard 17 3 2 2 4" xfId="1672"/>
    <cellStyle name="Standaard 17 3 2 2 4 2" xfId="3818"/>
    <cellStyle name="Standaard 17 3 2 2 5" xfId="2767"/>
    <cellStyle name="Standaard 17 3 2 2 6" xfId="4864"/>
    <cellStyle name="Standaard 17 3 2 3" xfId="701"/>
    <cellStyle name="Standaard 17 3 2 3 2" xfId="1220"/>
    <cellStyle name="Standaard 17 3 2 3 2 2" xfId="2326"/>
    <cellStyle name="Standaard 17 3 2 3 2 2 2" xfId="4468"/>
    <cellStyle name="Standaard 17 3 2 3 2 3" xfId="3417"/>
    <cellStyle name="Standaard 17 3 2 3 2 4" xfId="5514"/>
    <cellStyle name="Standaard 17 3 2 3 3" xfId="1809"/>
    <cellStyle name="Standaard 17 3 2 3 3 2" xfId="3951"/>
    <cellStyle name="Standaard 17 3 2 3 4" xfId="2900"/>
    <cellStyle name="Standaard 17 3 2 3 5" xfId="4997"/>
    <cellStyle name="Standaard 17 3 2 4" xfId="961"/>
    <cellStyle name="Standaard 17 3 2 4 2" xfId="2067"/>
    <cellStyle name="Standaard 17 3 2 4 2 2" xfId="4209"/>
    <cellStyle name="Standaard 17 3 2 4 3" xfId="3158"/>
    <cellStyle name="Standaard 17 3 2 4 4" xfId="5255"/>
    <cellStyle name="Standaard 17 3 2 5" xfId="1543"/>
    <cellStyle name="Standaard 17 3 2 5 2" xfId="3692"/>
    <cellStyle name="Standaard 17 3 2 6" xfId="2641"/>
    <cellStyle name="Standaard 17 3 2 7" xfId="4738"/>
    <cellStyle name="Standaard 17 3 3" xfId="467"/>
    <cellStyle name="Standaard 17 3 3 2" xfId="766"/>
    <cellStyle name="Standaard 17 3 3 2 2" xfId="1285"/>
    <cellStyle name="Standaard 17 3 3 2 2 2" xfId="2391"/>
    <cellStyle name="Standaard 17 3 3 2 2 2 2" xfId="4533"/>
    <cellStyle name="Standaard 17 3 3 2 2 3" xfId="3482"/>
    <cellStyle name="Standaard 17 3 3 2 2 4" xfId="5579"/>
    <cellStyle name="Standaard 17 3 3 2 3" xfId="1874"/>
    <cellStyle name="Standaard 17 3 3 2 3 2" xfId="4016"/>
    <cellStyle name="Standaard 17 3 3 2 4" xfId="2965"/>
    <cellStyle name="Standaard 17 3 3 2 5" xfId="5062"/>
    <cellStyle name="Standaard 17 3 3 3" xfId="1026"/>
    <cellStyle name="Standaard 17 3 3 3 2" xfId="2132"/>
    <cellStyle name="Standaard 17 3 3 3 2 2" xfId="4274"/>
    <cellStyle name="Standaard 17 3 3 3 3" xfId="3223"/>
    <cellStyle name="Standaard 17 3 3 3 4" xfId="5320"/>
    <cellStyle name="Standaard 17 3 3 4" xfId="1611"/>
    <cellStyle name="Standaard 17 3 3 4 2" xfId="3757"/>
    <cellStyle name="Standaard 17 3 3 5" xfId="2706"/>
    <cellStyle name="Standaard 17 3 3 6" xfId="4803"/>
    <cellStyle name="Standaard 17 3 4" xfId="640"/>
    <cellStyle name="Standaard 17 3 4 2" xfId="1159"/>
    <cellStyle name="Standaard 17 3 4 2 2" xfId="2265"/>
    <cellStyle name="Standaard 17 3 4 2 2 2" xfId="4407"/>
    <cellStyle name="Standaard 17 3 4 2 3" xfId="3356"/>
    <cellStyle name="Standaard 17 3 4 2 4" xfId="5453"/>
    <cellStyle name="Standaard 17 3 4 3" xfId="1748"/>
    <cellStyle name="Standaard 17 3 4 3 2" xfId="3890"/>
    <cellStyle name="Standaard 17 3 4 4" xfId="2839"/>
    <cellStyle name="Standaard 17 3 4 5" xfId="4936"/>
    <cellStyle name="Standaard 17 3 5" xfId="900"/>
    <cellStyle name="Standaard 17 3 5 2" xfId="2006"/>
    <cellStyle name="Standaard 17 3 5 2 2" xfId="4148"/>
    <cellStyle name="Standaard 17 3 5 3" xfId="3097"/>
    <cellStyle name="Standaard 17 3 5 4" xfId="5194"/>
    <cellStyle name="Standaard 17 3 6" xfId="1479"/>
    <cellStyle name="Standaard 17 3 6 2" xfId="3631"/>
    <cellStyle name="Standaard 17 3 7" xfId="2580"/>
    <cellStyle name="Standaard 17 3 8" xfId="4677"/>
    <cellStyle name="Standaard 17 4" xfId="343"/>
    <cellStyle name="Standaard 17 4 2" xfId="497"/>
    <cellStyle name="Standaard 17 4 2 2" xfId="796"/>
    <cellStyle name="Standaard 17 4 2 2 2" xfId="1315"/>
    <cellStyle name="Standaard 17 4 2 2 2 2" xfId="2421"/>
    <cellStyle name="Standaard 17 4 2 2 2 2 2" xfId="4563"/>
    <cellStyle name="Standaard 17 4 2 2 2 3" xfId="3512"/>
    <cellStyle name="Standaard 17 4 2 2 2 4" xfId="5609"/>
    <cellStyle name="Standaard 17 4 2 2 3" xfId="1904"/>
    <cellStyle name="Standaard 17 4 2 2 3 2" xfId="4046"/>
    <cellStyle name="Standaard 17 4 2 2 4" xfId="2995"/>
    <cellStyle name="Standaard 17 4 2 2 5" xfId="5092"/>
    <cellStyle name="Standaard 17 4 2 3" xfId="1056"/>
    <cellStyle name="Standaard 17 4 2 3 2" xfId="2162"/>
    <cellStyle name="Standaard 17 4 2 3 2 2" xfId="4304"/>
    <cellStyle name="Standaard 17 4 2 3 3" xfId="3253"/>
    <cellStyle name="Standaard 17 4 2 3 4" xfId="5350"/>
    <cellStyle name="Standaard 17 4 2 4" xfId="1641"/>
    <cellStyle name="Standaard 17 4 2 4 2" xfId="3787"/>
    <cellStyle name="Standaard 17 4 2 5" xfId="2736"/>
    <cellStyle name="Standaard 17 4 2 6" xfId="4833"/>
    <cellStyle name="Standaard 17 4 3" xfId="670"/>
    <cellStyle name="Standaard 17 4 3 2" xfId="1189"/>
    <cellStyle name="Standaard 17 4 3 2 2" xfId="2295"/>
    <cellStyle name="Standaard 17 4 3 2 2 2" xfId="4437"/>
    <cellStyle name="Standaard 17 4 3 2 3" xfId="3386"/>
    <cellStyle name="Standaard 17 4 3 2 4" xfId="5483"/>
    <cellStyle name="Standaard 17 4 3 3" xfId="1778"/>
    <cellStyle name="Standaard 17 4 3 3 2" xfId="3920"/>
    <cellStyle name="Standaard 17 4 3 4" xfId="2869"/>
    <cellStyle name="Standaard 17 4 3 5" xfId="4966"/>
    <cellStyle name="Standaard 17 4 4" xfId="930"/>
    <cellStyle name="Standaard 17 4 4 2" xfId="2036"/>
    <cellStyle name="Standaard 17 4 4 2 2" xfId="4178"/>
    <cellStyle name="Standaard 17 4 4 3" xfId="3127"/>
    <cellStyle name="Standaard 17 4 4 4" xfId="5224"/>
    <cellStyle name="Standaard 17 4 5" xfId="1511"/>
    <cellStyle name="Standaard 17 4 5 2" xfId="3661"/>
    <cellStyle name="Standaard 17 4 6" xfId="2610"/>
    <cellStyle name="Standaard 17 4 7" xfId="4707"/>
    <cellStyle name="Standaard 17 5" xfId="411"/>
    <cellStyle name="Standaard 17 5 2" xfId="724"/>
    <cellStyle name="Standaard 17 5 2 2" xfId="1243"/>
    <cellStyle name="Standaard 17 5 2 2 2" xfId="2349"/>
    <cellStyle name="Standaard 17 5 2 2 2 2" xfId="4491"/>
    <cellStyle name="Standaard 17 5 2 2 3" xfId="3440"/>
    <cellStyle name="Standaard 17 5 2 2 4" xfId="5537"/>
    <cellStyle name="Standaard 17 5 2 3" xfId="1832"/>
    <cellStyle name="Standaard 17 5 2 3 2" xfId="3974"/>
    <cellStyle name="Standaard 17 5 2 4" xfId="2923"/>
    <cellStyle name="Standaard 17 5 2 5" xfId="5020"/>
    <cellStyle name="Standaard 17 5 3" xfId="984"/>
    <cellStyle name="Standaard 17 5 3 2" xfId="2090"/>
    <cellStyle name="Standaard 17 5 3 2 2" xfId="4232"/>
    <cellStyle name="Standaard 17 5 3 3" xfId="3181"/>
    <cellStyle name="Standaard 17 5 3 4" xfId="5278"/>
    <cellStyle name="Standaard 17 5 4" xfId="1567"/>
    <cellStyle name="Standaard 17 5 4 2" xfId="3715"/>
    <cellStyle name="Standaard 17 5 5" xfId="2664"/>
    <cellStyle name="Standaard 17 5 6" xfId="4761"/>
    <cellStyle name="Standaard 17 6" xfId="423"/>
    <cellStyle name="Standaard 17 6 2" xfId="736"/>
    <cellStyle name="Standaard 17 6 2 2" xfId="1255"/>
    <cellStyle name="Standaard 17 6 2 2 2" xfId="2361"/>
    <cellStyle name="Standaard 17 6 2 2 2 2" xfId="4503"/>
    <cellStyle name="Standaard 17 6 2 2 3" xfId="3452"/>
    <cellStyle name="Standaard 17 6 2 2 4" xfId="5549"/>
    <cellStyle name="Standaard 17 6 2 3" xfId="1844"/>
    <cellStyle name="Standaard 17 6 2 3 2" xfId="3986"/>
    <cellStyle name="Standaard 17 6 2 4" xfId="2935"/>
    <cellStyle name="Standaard 17 6 2 5" xfId="5032"/>
    <cellStyle name="Standaard 17 6 3" xfId="996"/>
    <cellStyle name="Standaard 17 6 3 2" xfId="2102"/>
    <cellStyle name="Standaard 17 6 3 2 2" xfId="4244"/>
    <cellStyle name="Standaard 17 6 3 3" xfId="3193"/>
    <cellStyle name="Standaard 17 6 3 4" xfId="5290"/>
    <cellStyle name="Standaard 17 6 4" xfId="1579"/>
    <cellStyle name="Standaard 17 6 4 2" xfId="3727"/>
    <cellStyle name="Standaard 17 6 5" xfId="2676"/>
    <cellStyle name="Standaard 17 6 6" xfId="4773"/>
    <cellStyle name="Standaard 17 7" xfId="609"/>
    <cellStyle name="Standaard 17 7 2" xfId="1128"/>
    <cellStyle name="Standaard 17 7 2 2" xfId="2234"/>
    <cellStyle name="Standaard 17 7 2 2 2" xfId="4376"/>
    <cellStyle name="Standaard 17 7 2 3" xfId="3325"/>
    <cellStyle name="Standaard 17 7 2 4" xfId="5422"/>
    <cellStyle name="Standaard 17 7 3" xfId="1717"/>
    <cellStyle name="Standaard 17 7 3 2" xfId="3859"/>
    <cellStyle name="Standaard 17 7 4" xfId="2808"/>
    <cellStyle name="Standaard 17 7 5" xfId="4905"/>
    <cellStyle name="Standaard 17 8" xfId="868"/>
    <cellStyle name="Standaard 17 8 2" xfId="1976"/>
    <cellStyle name="Standaard 17 8 2 2" xfId="4118"/>
    <cellStyle name="Standaard 17 8 3" xfId="3067"/>
    <cellStyle name="Standaard 17 8 4" xfId="5164"/>
    <cellStyle name="Standaard 17 9" xfId="1401"/>
    <cellStyle name="Standaard 17 9 2" xfId="2493"/>
    <cellStyle name="Standaard 17 9 2 2" xfId="4635"/>
    <cellStyle name="Standaard 17 9 3" xfId="3584"/>
    <cellStyle name="Standaard 17 9 4" xfId="5681"/>
    <cellStyle name="Standaard 18" xfId="64"/>
    <cellStyle name="Standaard 18 10" xfId="4651"/>
    <cellStyle name="Standaard 18 2" xfId="76"/>
    <cellStyle name="Standaard 18 3" xfId="309"/>
    <cellStyle name="Standaard 18 3 2" xfId="381"/>
    <cellStyle name="Standaard 18 3 2 2" xfId="532"/>
    <cellStyle name="Standaard 18 3 2 2 2" xfId="831"/>
    <cellStyle name="Standaard 18 3 2 2 2 2" xfId="1350"/>
    <cellStyle name="Standaard 18 3 2 2 2 2 2" xfId="2456"/>
    <cellStyle name="Standaard 18 3 2 2 2 2 2 2" xfId="4598"/>
    <cellStyle name="Standaard 18 3 2 2 2 2 3" xfId="3547"/>
    <cellStyle name="Standaard 18 3 2 2 2 2 4" xfId="5644"/>
    <cellStyle name="Standaard 18 3 2 2 2 3" xfId="1939"/>
    <cellStyle name="Standaard 18 3 2 2 2 3 2" xfId="4081"/>
    <cellStyle name="Standaard 18 3 2 2 2 4" xfId="3030"/>
    <cellStyle name="Standaard 18 3 2 2 2 5" xfId="5127"/>
    <cellStyle name="Standaard 18 3 2 2 3" xfId="1091"/>
    <cellStyle name="Standaard 18 3 2 2 3 2" xfId="2197"/>
    <cellStyle name="Standaard 18 3 2 2 3 2 2" xfId="4339"/>
    <cellStyle name="Standaard 18 3 2 2 3 3" xfId="3288"/>
    <cellStyle name="Standaard 18 3 2 2 3 4" xfId="5385"/>
    <cellStyle name="Standaard 18 3 2 2 4" xfId="1676"/>
    <cellStyle name="Standaard 18 3 2 2 4 2" xfId="3822"/>
    <cellStyle name="Standaard 18 3 2 2 5" xfId="2771"/>
    <cellStyle name="Standaard 18 3 2 2 6" xfId="4868"/>
    <cellStyle name="Standaard 18 3 2 3" xfId="705"/>
    <cellStyle name="Standaard 18 3 2 3 2" xfId="1224"/>
    <cellStyle name="Standaard 18 3 2 3 2 2" xfId="2330"/>
    <cellStyle name="Standaard 18 3 2 3 2 2 2" xfId="4472"/>
    <cellStyle name="Standaard 18 3 2 3 2 3" xfId="3421"/>
    <cellStyle name="Standaard 18 3 2 3 2 4" xfId="5518"/>
    <cellStyle name="Standaard 18 3 2 3 3" xfId="1813"/>
    <cellStyle name="Standaard 18 3 2 3 3 2" xfId="3955"/>
    <cellStyle name="Standaard 18 3 2 3 4" xfId="2904"/>
    <cellStyle name="Standaard 18 3 2 3 5" xfId="5001"/>
    <cellStyle name="Standaard 18 3 2 4" xfId="965"/>
    <cellStyle name="Standaard 18 3 2 4 2" xfId="2071"/>
    <cellStyle name="Standaard 18 3 2 4 2 2" xfId="4213"/>
    <cellStyle name="Standaard 18 3 2 4 3" xfId="3162"/>
    <cellStyle name="Standaard 18 3 2 4 4" xfId="5259"/>
    <cellStyle name="Standaard 18 3 2 5" xfId="1547"/>
    <cellStyle name="Standaard 18 3 2 5 2" xfId="3696"/>
    <cellStyle name="Standaard 18 3 2 6" xfId="2645"/>
    <cellStyle name="Standaard 18 3 2 7" xfId="4742"/>
    <cellStyle name="Standaard 18 3 3" xfId="471"/>
    <cellStyle name="Standaard 18 3 3 2" xfId="770"/>
    <cellStyle name="Standaard 18 3 3 2 2" xfId="1289"/>
    <cellStyle name="Standaard 18 3 3 2 2 2" xfId="2395"/>
    <cellStyle name="Standaard 18 3 3 2 2 2 2" xfId="4537"/>
    <cellStyle name="Standaard 18 3 3 2 2 3" xfId="3486"/>
    <cellStyle name="Standaard 18 3 3 2 2 4" xfId="5583"/>
    <cellStyle name="Standaard 18 3 3 2 3" xfId="1878"/>
    <cellStyle name="Standaard 18 3 3 2 3 2" xfId="4020"/>
    <cellStyle name="Standaard 18 3 3 2 4" xfId="2969"/>
    <cellStyle name="Standaard 18 3 3 2 5" xfId="5066"/>
    <cellStyle name="Standaard 18 3 3 3" xfId="1030"/>
    <cellStyle name="Standaard 18 3 3 3 2" xfId="2136"/>
    <cellStyle name="Standaard 18 3 3 3 2 2" xfId="4278"/>
    <cellStyle name="Standaard 18 3 3 3 3" xfId="3227"/>
    <cellStyle name="Standaard 18 3 3 3 4" xfId="5324"/>
    <cellStyle name="Standaard 18 3 3 4" xfId="1615"/>
    <cellStyle name="Standaard 18 3 3 4 2" xfId="3761"/>
    <cellStyle name="Standaard 18 3 3 5" xfId="2710"/>
    <cellStyle name="Standaard 18 3 3 6" xfId="4807"/>
    <cellStyle name="Standaard 18 3 4" xfId="644"/>
    <cellStyle name="Standaard 18 3 4 2" xfId="1163"/>
    <cellStyle name="Standaard 18 3 4 2 2" xfId="2269"/>
    <cellStyle name="Standaard 18 3 4 2 2 2" xfId="4411"/>
    <cellStyle name="Standaard 18 3 4 2 3" xfId="3360"/>
    <cellStyle name="Standaard 18 3 4 2 4" xfId="5457"/>
    <cellStyle name="Standaard 18 3 4 3" xfId="1752"/>
    <cellStyle name="Standaard 18 3 4 3 2" xfId="3894"/>
    <cellStyle name="Standaard 18 3 4 4" xfId="2843"/>
    <cellStyle name="Standaard 18 3 4 5" xfId="4940"/>
    <cellStyle name="Standaard 18 3 5" xfId="904"/>
    <cellStyle name="Standaard 18 3 5 2" xfId="2010"/>
    <cellStyle name="Standaard 18 3 5 2 2" xfId="4152"/>
    <cellStyle name="Standaard 18 3 5 3" xfId="3101"/>
    <cellStyle name="Standaard 18 3 5 4" xfId="5198"/>
    <cellStyle name="Standaard 18 3 6" xfId="1483"/>
    <cellStyle name="Standaard 18 3 6 2" xfId="3635"/>
    <cellStyle name="Standaard 18 3 7" xfId="2584"/>
    <cellStyle name="Standaard 18 3 8" xfId="4681"/>
    <cellStyle name="Standaard 18 4" xfId="347"/>
    <cellStyle name="Standaard 18 4 2" xfId="501"/>
    <cellStyle name="Standaard 18 4 2 2" xfId="800"/>
    <cellStyle name="Standaard 18 4 2 2 2" xfId="1319"/>
    <cellStyle name="Standaard 18 4 2 2 2 2" xfId="2425"/>
    <cellStyle name="Standaard 18 4 2 2 2 2 2" xfId="4567"/>
    <cellStyle name="Standaard 18 4 2 2 2 3" xfId="3516"/>
    <cellStyle name="Standaard 18 4 2 2 2 4" xfId="5613"/>
    <cellStyle name="Standaard 18 4 2 2 3" xfId="1908"/>
    <cellStyle name="Standaard 18 4 2 2 3 2" xfId="4050"/>
    <cellStyle name="Standaard 18 4 2 2 4" xfId="2999"/>
    <cellStyle name="Standaard 18 4 2 2 5" xfId="5096"/>
    <cellStyle name="Standaard 18 4 2 3" xfId="1060"/>
    <cellStyle name="Standaard 18 4 2 3 2" xfId="2166"/>
    <cellStyle name="Standaard 18 4 2 3 2 2" xfId="4308"/>
    <cellStyle name="Standaard 18 4 2 3 3" xfId="3257"/>
    <cellStyle name="Standaard 18 4 2 3 4" xfId="5354"/>
    <cellStyle name="Standaard 18 4 2 4" xfId="1645"/>
    <cellStyle name="Standaard 18 4 2 4 2" xfId="3791"/>
    <cellStyle name="Standaard 18 4 2 5" xfId="2740"/>
    <cellStyle name="Standaard 18 4 2 6" xfId="4837"/>
    <cellStyle name="Standaard 18 4 3" xfId="674"/>
    <cellStyle name="Standaard 18 4 3 2" xfId="1193"/>
    <cellStyle name="Standaard 18 4 3 2 2" xfId="2299"/>
    <cellStyle name="Standaard 18 4 3 2 2 2" xfId="4441"/>
    <cellStyle name="Standaard 18 4 3 2 3" xfId="3390"/>
    <cellStyle name="Standaard 18 4 3 2 4" xfId="5487"/>
    <cellStyle name="Standaard 18 4 3 3" xfId="1782"/>
    <cellStyle name="Standaard 18 4 3 3 2" xfId="3924"/>
    <cellStyle name="Standaard 18 4 3 4" xfId="2873"/>
    <cellStyle name="Standaard 18 4 3 5" xfId="4970"/>
    <cellStyle name="Standaard 18 4 4" xfId="934"/>
    <cellStyle name="Standaard 18 4 4 2" xfId="2040"/>
    <cellStyle name="Standaard 18 4 4 2 2" xfId="4182"/>
    <cellStyle name="Standaard 18 4 4 3" xfId="3131"/>
    <cellStyle name="Standaard 18 4 4 4" xfId="5228"/>
    <cellStyle name="Standaard 18 4 5" xfId="1515"/>
    <cellStyle name="Standaard 18 4 5 2" xfId="3665"/>
    <cellStyle name="Standaard 18 4 6" xfId="2614"/>
    <cellStyle name="Standaard 18 4 7" xfId="4711"/>
    <cellStyle name="Standaard 18 5" xfId="433"/>
    <cellStyle name="Standaard 18 5 2" xfId="740"/>
    <cellStyle name="Standaard 18 5 2 2" xfId="1259"/>
    <cellStyle name="Standaard 18 5 2 2 2" xfId="2365"/>
    <cellStyle name="Standaard 18 5 2 2 2 2" xfId="4507"/>
    <cellStyle name="Standaard 18 5 2 2 3" xfId="3456"/>
    <cellStyle name="Standaard 18 5 2 2 4" xfId="5553"/>
    <cellStyle name="Standaard 18 5 2 3" xfId="1848"/>
    <cellStyle name="Standaard 18 5 2 3 2" xfId="3990"/>
    <cellStyle name="Standaard 18 5 2 4" xfId="2939"/>
    <cellStyle name="Standaard 18 5 2 5" xfId="5036"/>
    <cellStyle name="Standaard 18 5 3" xfId="1000"/>
    <cellStyle name="Standaard 18 5 3 2" xfId="2106"/>
    <cellStyle name="Standaard 18 5 3 2 2" xfId="4248"/>
    <cellStyle name="Standaard 18 5 3 3" xfId="3197"/>
    <cellStyle name="Standaard 18 5 3 4" xfId="5294"/>
    <cellStyle name="Standaard 18 5 4" xfId="1583"/>
    <cellStyle name="Standaard 18 5 4 2" xfId="3731"/>
    <cellStyle name="Standaard 18 5 5" xfId="2680"/>
    <cellStyle name="Standaard 18 5 6" xfId="4777"/>
    <cellStyle name="Standaard 18 6" xfId="613"/>
    <cellStyle name="Standaard 18 6 2" xfId="1132"/>
    <cellStyle name="Standaard 18 6 2 2" xfId="2238"/>
    <cellStyle name="Standaard 18 6 2 2 2" xfId="4380"/>
    <cellStyle name="Standaard 18 6 2 3" xfId="3329"/>
    <cellStyle name="Standaard 18 6 2 4" xfId="5426"/>
    <cellStyle name="Standaard 18 6 3" xfId="1721"/>
    <cellStyle name="Standaard 18 6 3 2" xfId="3863"/>
    <cellStyle name="Standaard 18 6 4" xfId="2812"/>
    <cellStyle name="Standaard 18 6 5" xfId="4909"/>
    <cellStyle name="Standaard 18 7" xfId="874"/>
    <cellStyle name="Standaard 18 7 2" xfId="1980"/>
    <cellStyle name="Standaard 18 7 2 2" xfId="4122"/>
    <cellStyle name="Standaard 18 7 3" xfId="3071"/>
    <cellStyle name="Standaard 18 7 4" xfId="5168"/>
    <cellStyle name="Standaard 18 8" xfId="1432"/>
    <cellStyle name="Standaard 18 8 2" xfId="3605"/>
    <cellStyle name="Standaard 18 9" xfId="2554"/>
    <cellStyle name="Standaard 19" xfId="65"/>
    <cellStyle name="Standaard 19 2" xfId="311"/>
    <cellStyle name="Standaard 19 2 2" xfId="382"/>
    <cellStyle name="Standaard 19 2 2 2" xfId="533"/>
    <cellStyle name="Standaard 19 2 2 2 2" xfId="832"/>
    <cellStyle name="Standaard 19 2 2 2 2 2" xfId="1351"/>
    <cellStyle name="Standaard 19 2 2 2 2 2 2" xfId="2457"/>
    <cellStyle name="Standaard 19 2 2 2 2 2 2 2" xfId="4599"/>
    <cellStyle name="Standaard 19 2 2 2 2 2 3" xfId="3548"/>
    <cellStyle name="Standaard 19 2 2 2 2 2 4" xfId="5645"/>
    <cellStyle name="Standaard 19 2 2 2 2 3" xfId="1940"/>
    <cellStyle name="Standaard 19 2 2 2 2 3 2" xfId="4082"/>
    <cellStyle name="Standaard 19 2 2 2 2 4" xfId="3031"/>
    <cellStyle name="Standaard 19 2 2 2 2 5" xfId="5128"/>
    <cellStyle name="Standaard 19 2 2 2 3" xfId="1092"/>
    <cellStyle name="Standaard 19 2 2 2 3 2" xfId="2198"/>
    <cellStyle name="Standaard 19 2 2 2 3 2 2" xfId="4340"/>
    <cellStyle name="Standaard 19 2 2 2 3 3" xfId="3289"/>
    <cellStyle name="Standaard 19 2 2 2 3 4" xfId="5386"/>
    <cellStyle name="Standaard 19 2 2 2 4" xfId="1677"/>
    <cellStyle name="Standaard 19 2 2 2 4 2" xfId="3823"/>
    <cellStyle name="Standaard 19 2 2 2 5" xfId="2772"/>
    <cellStyle name="Standaard 19 2 2 2 6" xfId="4869"/>
    <cellStyle name="Standaard 19 2 2 3" xfId="706"/>
    <cellStyle name="Standaard 19 2 2 3 2" xfId="1225"/>
    <cellStyle name="Standaard 19 2 2 3 2 2" xfId="2331"/>
    <cellStyle name="Standaard 19 2 2 3 2 2 2" xfId="4473"/>
    <cellStyle name="Standaard 19 2 2 3 2 3" xfId="3422"/>
    <cellStyle name="Standaard 19 2 2 3 2 4" xfId="5519"/>
    <cellStyle name="Standaard 19 2 2 3 3" xfId="1814"/>
    <cellStyle name="Standaard 19 2 2 3 3 2" xfId="3956"/>
    <cellStyle name="Standaard 19 2 2 3 4" xfId="2905"/>
    <cellStyle name="Standaard 19 2 2 3 5" xfId="5002"/>
    <cellStyle name="Standaard 19 2 2 4" xfId="966"/>
    <cellStyle name="Standaard 19 2 2 4 2" xfId="2072"/>
    <cellStyle name="Standaard 19 2 2 4 2 2" xfId="4214"/>
    <cellStyle name="Standaard 19 2 2 4 3" xfId="3163"/>
    <cellStyle name="Standaard 19 2 2 4 4" xfId="5260"/>
    <cellStyle name="Standaard 19 2 2 5" xfId="1548"/>
    <cellStyle name="Standaard 19 2 2 5 2" xfId="3697"/>
    <cellStyle name="Standaard 19 2 2 6" xfId="2646"/>
    <cellStyle name="Standaard 19 2 2 7" xfId="4743"/>
    <cellStyle name="Standaard 19 2 3" xfId="472"/>
    <cellStyle name="Standaard 19 2 3 2" xfId="771"/>
    <cellStyle name="Standaard 19 2 3 2 2" xfId="1290"/>
    <cellStyle name="Standaard 19 2 3 2 2 2" xfId="2396"/>
    <cellStyle name="Standaard 19 2 3 2 2 2 2" xfId="4538"/>
    <cellStyle name="Standaard 19 2 3 2 2 3" xfId="3487"/>
    <cellStyle name="Standaard 19 2 3 2 2 4" xfId="5584"/>
    <cellStyle name="Standaard 19 2 3 2 3" xfId="1879"/>
    <cellStyle name="Standaard 19 2 3 2 3 2" xfId="4021"/>
    <cellStyle name="Standaard 19 2 3 2 4" xfId="2970"/>
    <cellStyle name="Standaard 19 2 3 2 5" xfId="5067"/>
    <cellStyle name="Standaard 19 2 3 3" xfId="1031"/>
    <cellStyle name="Standaard 19 2 3 3 2" xfId="2137"/>
    <cellStyle name="Standaard 19 2 3 3 2 2" xfId="4279"/>
    <cellStyle name="Standaard 19 2 3 3 3" xfId="3228"/>
    <cellStyle name="Standaard 19 2 3 3 4" xfId="5325"/>
    <cellStyle name="Standaard 19 2 3 4" xfId="1616"/>
    <cellStyle name="Standaard 19 2 3 4 2" xfId="3762"/>
    <cellStyle name="Standaard 19 2 3 5" xfId="2711"/>
    <cellStyle name="Standaard 19 2 3 6" xfId="4808"/>
    <cellStyle name="Standaard 19 2 4" xfId="645"/>
    <cellStyle name="Standaard 19 2 4 2" xfId="1164"/>
    <cellStyle name="Standaard 19 2 4 2 2" xfId="2270"/>
    <cellStyle name="Standaard 19 2 4 2 2 2" xfId="4412"/>
    <cellStyle name="Standaard 19 2 4 2 3" xfId="3361"/>
    <cellStyle name="Standaard 19 2 4 2 4" xfId="5458"/>
    <cellStyle name="Standaard 19 2 4 3" xfId="1753"/>
    <cellStyle name="Standaard 19 2 4 3 2" xfId="3895"/>
    <cellStyle name="Standaard 19 2 4 4" xfId="2844"/>
    <cellStyle name="Standaard 19 2 4 5" xfId="4941"/>
    <cellStyle name="Standaard 19 2 5" xfId="905"/>
    <cellStyle name="Standaard 19 2 5 2" xfId="2011"/>
    <cellStyle name="Standaard 19 2 5 2 2" xfId="4153"/>
    <cellStyle name="Standaard 19 2 5 3" xfId="3102"/>
    <cellStyle name="Standaard 19 2 5 4" xfId="5199"/>
    <cellStyle name="Standaard 19 2 6" xfId="1484"/>
    <cellStyle name="Standaard 19 2 6 2" xfId="3636"/>
    <cellStyle name="Standaard 19 2 7" xfId="2585"/>
    <cellStyle name="Standaard 19 2 8" xfId="4682"/>
    <cellStyle name="Standaard 19 3" xfId="348"/>
    <cellStyle name="Standaard 19 3 2" xfId="502"/>
    <cellStyle name="Standaard 19 3 2 2" xfId="801"/>
    <cellStyle name="Standaard 19 3 2 2 2" xfId="1320"/>
    <cellStyle name="Standaard 19 3 2 2 2 2" xfId="2426"/>
    <cellStyle name="Standaard 19 3 2 2 2 2 2" xfId="4568"/>
    <cellStyle name="Standaard 19 3 2 2 2 3" xfId="3517"/>
    <cellStyle name="Standaard 19 3 2 2 2 4" xfId="5614"/>
    <cellStyle name="Standaard 19 3 2 2 3" xfId="1909"/>
    <cellStyle name="Standaard 19 3 2 2 3 2" xfId="4051"/>
    <cellStyle name="Standaard 19 3 2 2 4" xfId="3000"/>
    <cellStyle name="Standaard 19 3 2 2 5" xfId="5097"/>
    <cellStyle name="Standaard 19 3 2 3" xfId="1061"/>
    <cellStyle name="Standaard 19 3 2 3 2" xfId="2167"/>
    <cellStyle name="Standaard 19 3 2 3 2 2" xfId="4309"/>
    <cellStyle name="Standaard 19 3 2 3 3" xfId="3258"/>
    <cellStyle name="Standaard 19 3 2 3 4" xfId="5355"/>
    <cellStyle name="Standaard 19 3 2 4" xfId="1646"/>
    <cellStyle name="Standaard 19 3 2 4 2" xfId="3792"/>
    <cellStyle name="Standaard 19 3 2 5" xfId="2741"/>
    <cellStyle name="Standaard 19 3 2 6" xfId="4838"/>
    <cellStyle name="Standaard 19 3 3" xfId="675"/>
    <cellStyle name="Standaard 19 3 3 2" xfId="1194"/>
    <cellStyle name="Standaard 19 3 3 2 2" xfId="2300"/>
    <cellStyle name="Standaard 19 3 3 2 2 2" xfId="4442"/>
    <cellStyle name="Standaard 19 3 3 2 3" xfId="3391"/>
    <cellStyle name="Standaard 19 3 3 2 4" xfId="5488"/>
    <cellStyle name="Standaard 19 3 3 3" xfId="1783"/>
    <cellStyle name="Standaard 19 3 3 3 2" xfId="3925"/>
    <cellStyle name="Standaard 19 3 3 4" xfId="2874"/>
    <cellStyle name="Standaard 19 3 3 5" xfId="4971"/>
    <cellStyle name="Standaard 19 3 4" xfId="935"/>
    <cellStyle name="Standaard 19 3 4 2" xfId="2041"/>
    <cellStyle name="Standaard 19 3 4 2 2" xfId="4183"/>
    <cellStyle name="Standaard 19 3 4 3" xfId="3132"/>
    <cellStyle name="Standaard 19 3 4 4" xfId="5229"/>
    <cellStyle name="Standaard 19 3 5" xfId="1516"/>
    <cellStyle name="Standaard 19 3 5 2" xfId="3666"/>
    <cellStyle name="Standaard 19 3 6" xfId="2615"/>
    <cellStyle name="Standaard 19 3 7" xfId="4712"/>
    <cellStyle name="Standaard 19 4" xfId="434"/>
    <cellStyle name="Standaard 19 4 2" xfId="741"/>
    <cellStyle name="Standaard 19 4 2 2" xfId="1260"/>
    <cellStyle name="Standaard 19 4 2 2 2" xfId="2366"/>
    <cellStyle name="Standaard 19 4 2 2 2 2" xfId="4508"/>
    <cellStyle name="Standaard 19 4 2 2 3" xfId="3457"/>
    <cellStyle name="Standaard 19 4 2 2 4" xfId="5554"/>
    <cellStyle name="Standaard 19 4 2 3" xfId="1849"/>
    <cellStyle name="Standaard 19 4 2 3 2" xfId="3991"/>
    <cellStyle name="Standaard 19 4 2 4" xfId="2940"/>
    <cellStyle name="Standaard 19 4 2 5" xfId="5037"/>
    <cellStyle name="Standaard 19 4 3" xfId="1001"/>
    <cellStyle name="Standaard 19 4 3 2" xfId="2107"/>
    <cellStyle name="Standaard 19 4 3 2 2" xfId="4249"/>
    <cellStyle name="Standaard 19 4 3 3" xfId="3198"/>
    <cellStyle name="Standaard 19 4 3 4" xfId="5295"/>
    <cellStyle name="Standaard 19 4 4" xfId="1584"/>
    <cellStyle name="Standaard 19 4 4 2" xfId="3732"/>
    <cellStyle name="Standaard 19 4 5" xfId="2681"/>
    <cellStyle name="Standaard 19 4 6" xfId="4778"/>
    <cellStyle name="Standaard 19 5" xfId="614"/>
    <cellStyle name="Standaard 19 5 2" xfId="1133"/>
    <cellStyle name="Standaard 19 5 2 2" xfId="2239"/>
    <cellStyle name="Standaard 19 5 2 2 2" xfId="4381"/>
    <cellStyle name="Standaard 19 5 2 3" xfId="3330"/>
    <cellStyle name="Standaard 19 5 2 4" xfId="5427"/>
    <cellStyle name="Standaard 19 5 3" xfId="1722"/>
    <cellStyle name="Standaard 19 5 3 2" xfId="3864"/>
    <cellStyle name="Standaard 19 5 4" xfId="2813"/>
    <cellStyle name="Standaard 19 5 5" xfId="4910"/>
    <cellStyle name="Standaard 19 6" xfId="875"/>
    <cellStyle name="Standaard 19 6 2" xfId="1981"/>
    <cellStyle name="Standaard 19 6 2 2" xfId="4123"/>
    <cellStyle name="Standaard 19 6 3" xfId="3072"/>
    <cellStyle name="Standaard 19 6 4" xfId="5169"/>
    <cellStyle name="Standaard 19 7" xfId="1433"/>
    <cellStyle name="Standaard 19 7 2" xfId="3606"/>
    <cellStyle name="Standaard 19 8" xfId="2555"/>
    <cellStyle name="Standaard 19 9" xfId="4652"/>
    <cellStyle name="Standaard 2" xfId="12"/>
    <cellStyle name="Standaard 2 2" xfId="13"/>
    <cellStyle name="Standaard 2 2 2" xfId="44"/>
    <cellStyle name="Standaard 2 3" xfId="43"/>
    <cellStyle name="Standaard 2 3 2" xfId="302"/>
    <cellStyle name="Standaard 2 3 3" xfId="210"/>
    <cellStyle name="Standaard 2 3 3 2" xfId="367"/>
    <cellStyle name="Standaard 2 3 3 2 2" xfId="520"/>
    <cellStyle name="Standaard 2 3 3 2 2 2" xfId="819"/>
    <cellStyle name="Standaard 2 3 3 2 2 2 2" xfId="1338"/>
    <cellStyle name="Standaard 2 3 3 2 2 2 2 2" xfId="2444"/>
    <cellStyle name="Standaard 2 3 3 2 2 2 2 2 2" xfId="4586"/>
    <cellStyle name="Standaard 2 3 3 2 2 2 2 3" xfId="3535"/>
    <cellStyle name="Standaard 2 3 3 2 2 2 2 4" xfId="5632"/>
    <cellStyle name="Standaard 2 3 3 2 2 2 3" xfId="1927"/>
    <cellStyle name="Standaard 2 3 3 2 2 2 3 2" xfId="4069"/>
    <cellStyle name="Standaard 2 3 3 2 2 2 4" xfId="3018"/>
    <cellStyle name="Standaard 2 3 3 2 2 2 5" xfId="5115"/>
    <cellStyle name="Standaard 2 3 3 2 2 3" xfId="1079"/>
    <cellStyle name="Standaard 2 3 3 2 2 3 2" xfId="2185"/>
    <cellStyle name="Standaard 2 3 3 2 2 3 2 2" xfId="4327"/>
    <cellStyle name="Standaard 2 3 3 2 2 3 3" xfId="3276"/>
    <cellStyle name="Standaard 2 3 3 2 2 3 4" xfId="5373"/>
    <cellStyle name="Standaard 2 3 3 2 2 4" xfId="1664"/>
    <cellStyle name="Standaard 2 3 3 2 2 4 2" xfId="3810"/>
    <cellStyle name="Standaard 2 3 3 2 2 5" xfId="2759"/>
    <cellStyle name="Standaard 2 3 3 2 2 6" xfId="4856"/>
    <cellStyle name="Standaard 2 3 3 2 3" xfId="693"/>
    <cellStyle name="Standaard 2 3 3 2 3 2" xfId="1212"/>
    <cellStyle name="Standaard 2 3 3 2 3 2 2" xfId="2318"/>
    <cellStyle name="Standaard 2 3 3 2 3 2 2 2" xfId="4460"/>
    <cellStyle name="Standaard 2 3 3 2 3 2 3" xfId="3409"/>
    <cellStyle name="Standaard 2 3 3 2 3 2 4" xfId="5506"/>
    <cellStyle name="Standaard 2 3 3 2 3 3" xfId="1801"/>
    <cellStyle name="Standaard 2 3 3 2 3 3 2" xfId="3943"/>
    <cellStyle name="Standaard 2 3 3 2 3 4" xfId="2892"/>
    <cellStyle name="Standaard 2 3 3 2 3 5" xfId="4989"/>
    <cellStyle name="Standaard 2 3 3 2 4" xfId="953"/>
    <cellStyle name="Standaard 2 3 3 2 4 2" xfId="2059"/>
    <cellStyle name="Standaard 2 3 3 2 4 2 2" xfId="4201"/>
    <cellStyle name="Standaard 2 3 3 2 4 3" xfId="3150"/>
    <cellStyle name="Standaard 2 3 3 2 4 4" xfId="5247"/>
    <cellStyle name="Standaard 2 3 3 2 5" xfId="1534"/>
    <cellStyle name="Standaard 2 3 3 2 5 2" xfId="3684"/>
    <cellStyle name="Standaard 2 3 3 2 6" xfId="2633"/>
    <cellStyle name="Standaard 2 3 3 2 7" xfId="4730"/>
    <cellStyle name="Standaard 2 3 3 3" xfId="455"/>
    <cellStyle name="Standaard 2 3 3 3 2" xfId="758"/>
    <cellStyle name="Standaard 2 3 3 3 2 2" xfId="1277"/>
    <cellStyle name="Standaard 2 3 3 3 2 2 2" xfId="2383"/>
    <cellStyle name="Standaard 2 3 3 3 2 2 2 2" xfId="4525"/>
    <cellStyle name="Standaard 2 3 3 3 2 2 3" xfId="3474"/>
    <cellStyle name="Standaard 2 3 3 3 2 2 4" xfId="5571"/>
    <cellStyle name="Standaard 2 3 3 3 2 3" xfId="1866"/>
    <cellStyle name="Standaard 2 3 3 3 2 3 2" xfId="4008"/>
    <cellStyle name="Standaard 2 3 3 3 2 4" xfId="2957"/>
    <cellStyle name="Standaard 2 3 3 3 2 5" xfId="5054"/>
    <cellStyle name="Standaard 2 3 3 3 3" xfId="1018"/>
    <cellStyle name="Standaard 2 3 3 3 3 2" xfId="2124"/>
    <cellStyle name="Standaard 2 3 3 3 3 2 2" xfId="4266"/>
    <cellStyle name="Standaard 2 3 3 3 3 3" xfId="3215"/>
    <cellStyle name="Standaard 2 3 3 3 3 4" xfId="5312"/>
    <cellStyle name="Standaard 2 3 3 3 4" xfId="1601"/>
    <cellStyle name="Standaard 2 3 3 3 4 2" xfId="3749"/>
    <cellStyle name="Standaard 2 3 3 3 5" xfId="2698"/>
    <cellStyle name="Standaard 2 3 3 3 6" xfId="4795"/>
    <cellStyle name="Standaard 2 3 3 4" xfId="632"/>
    <cellStyle name="Standaard 2 3 3 4 2" xfId="1151"/>
    <cellStyle name="Standaard 2 3 3 4 2 2" xfId="2257"/>
    <cellStyle name="Standaard 2 3 3 4 2 2 2" xfId="4399"/>
    <cellStyle name="Standaard 2 3 3 4 2 3" xfId="3348"/>
    <cellStyle name="Standaard 2 3 3 4 2 4" xfId="5445"/>
    <cellStyle name="Standaard 2 3 3 4 3" xfId="1740"/>
    <cellStyle name="Standaard 2 3 3 4 3 2" xfId="3882"/>
    <cellStyle name="Standaard 2 3 3 4 4" xfId="2831"/>
    <cellStyle name="Standaard 2 3 3 4 5" xfId="4928"/>
    <cellStyle name="Standaard 2 3 3 5" xfId="892"/>
    <cellStyle name="Standaard 2 3 3 5 2" xfId="1998"/>
    <cellStyle name="Standaard 2 3 3 5 2 2" xfId="4140"/>
    <cellStyle name="Standaard 2 3 3 5 3" xfId="3089"/>
    <cellStyle name="Standaard 2 3 3 5 4" xfId="5186"/>
    <cellStyle name="Standaard 2 3 3 6" xfId="1465"/>
    <cellStyle name="Standaard 2 3 3 6 2" xfId="3623"/>
    <cellStyle name="Standaard 2 3 3 7" xfId="2572"/>
    <cellStyle name="Standaard 2 3 3 8" xfId="4669"/>
    <cellStyle name="Standaard 2 3 4" xfId="340"/>
    <cellStyle name="Standaard 2 3 5" xfId="330"/>
    <cellStyle name="Standaard 2 3 5 2" xfId="489"/>
    <cellStyle name="Standaard 2 3 5 2 2" xfId="788"/>
    <cellStyle name="Standaard 2 3 5 2 2 2" xfId="1307"/>
    <cellStyle name="Standaard 2 3 5 2 2 2 2" xfId="2413"/>
    <cellStyle name="Standaard 2 3 5 2 2 2 2 2" xfId="4555"/>
    <cellStyle name="Standaard 2 3 5 2 2 2 3" xfId="3504"/>
    <cellStyle name="Standaard 2 3 5 2 2 2 4" xfId="5601"/>
    <cellStyle name="Standaard 2 3 5 2 2 3" xfId="1896"/>
    <cellStyle name="Standaard 2 3 5 2 2 3 2" xfId="4038"/>
    <cellStyle name="Standaard 2 3 5 2 2 4" xfId="2987"/>
    <cellStyle name="Standaard 2 3 5 2 2 5" xfId="5084"/>
    <cellStyle name="Standaard 2 3 5 2 3" xfId="1048"/>
    <cellStyle name="Standaard 2 3 5 2 3 2" xfId="2154"/>
    <cellStyle name="Standaard 2 3 5 2 3 2 2" xfId="4296"/>
    <cellStyle name="Standaard 2 3 5 2 3 3" xfId="3245"/>
    <cellStyle name="Standaard 2 3 5 2 3 4" xfId="5342"/>
    <cellStyle name="Standaard 2 3 5 2 4" xfId="1633"/>
    <cellStyle name="Standaard 2 3 5 2 4 2" xfId="3779"/>
    <cellStyle name="Standaard 2 3 5 2 5" xfId="2728"/>
    <cellStyle name="Standaard 2 3 5 2 6" xfId="4825"/>
    <cellStyle name="Standaard 2 3 5 3" xfId="662"/>
    <cellStyle name="Standaard 2 3 5 3 2" xfId="1181"/>
    <cellStyle name="Standaard 2 3 5 3 2 2" xfId="2287"/>
    <cellStyle name="Standaard 2 3 5 3 2 2 2" xfId="4429"/>
    <cellStyle name="Standaard 2 3 5 3 2 3" xfId="3378"/>
    <cellStyle name="Standaard 2 3 5 3 2 4" xfId="5475"/>
    <cellStyle name="Standaard 2 3 5 3 3" xfId="1770"/>
    <cellStyle name="Standaard 2 3 5 3 3 2" xfId="3912"/>
    <cellStyle name="Standaard 2 3 5 3 4" xfId="2861"/>
    <cellStyle name="Standaard 2 3 5 3 5" xfId="4958"/>
    <cellStyle name="Standaard 2 3 5 4" xfId="922"/>
    <cellStyle name="Standaard 2 3 5 4 2" xfId="2028"/>
    <cellStyle name="Standaard 2 3 5 4 2 2" xfId="4170"/>
    <cellStyle name="Standaard 2 3 5 4 3" xfId="3119"/>
    <cellStyle name="Standaard 2 3 5 4 4" xfId="5216"/>
    <cellStyle name="Standaard 2 3 5 5" xfId="1501"/>
    <cellStyle name="Standaard 2 3 5 5 2" xfId="3653"/>
    <cellStyle name="Standaard 2 3 5 6" xfId="2602"/>
    <cellStyle name="Standaard 2 3 5 7" xfId="4699"/>
    <cellStyle name="Standaard 2 3 6" xfId="393"/>
    <cellStyle name="Standaard 2_SOLID SERIE" xfId="14"/>
    <cellStyle name="Standaard 20" xfId="310"/>
    <cellStyle name="Standaard 21" xfId="321"/>
    <cellStyle name="Standaard 21 2" xfId="392"/>
    <cellStyle name="Standaard 22" xfId="77"/>
    <cellStyle name="Standaard 22 2" xfId="360"/>
    <cellStyle name="Standaard 22 2 2" xfId="514"/>
    <cellStyle name="Standaard 22 2 2 2" xfId="813"/>
    <cellStyle name="Standaard 22 2 2 2 2" xfId="1332"/>
    <cellStyle name="Standaard 22 2 2 2 2 2" xfId="2438"/>
    <cellStyle name="Standaard 22 2 2 2 2 2 2" xfId="4580"/>
    <cellStyle name="Standaard 22 2 2 2 2 3" xfId="3529"/>
    <cellStyle name="Standaard 22 2 2 2 2 4" xfId="5626"/>
    <cellStyle name="Standaard 22 2 2 2 3" xfId="1921"/>
    <cellStyle name="Standaard 22 2 2 2 3 2" xfId="4063"/>
    <cellStyle name="Standaard 22 2 2 2 4" xfId="3012"/>
    <cellStyle name="Standaard 22 2 2 2 5" xfId="5109"/>
    <cellStyle name="Standaard 22 2 2 3" xfId="1073"/>
    <cellStyle name="Standaard 22 2 2 3 2" xfId="2179"/>
    <cellStyle name="Standaard 22 2 2 3 2 2" xfId="4321"/>
    <cellStyle name="Standaard 22 2 2 3 3" xfId="3270"/>
    <cellStyle name="Standaard 22 2 2 3 4" xfId="5367"/>
    <cellStyle name="Standaard 22 2 2 4" xfId="1658"/>
    <cellStyle name="Standaard 22 2 2 4 2" xfId="3804"/>
    <cellStyle name="Standaard 22 2 2 5" xfId="2753"/>
    <cellStyle name="Standaard 22 2 2 6" xfId="4850"/>
    <cellStyle name="Standaard 22 2 3" xfId="687"/>
    <cellStyle name="Standaard 22 2 3 2" xfId="1206"/>
    <cellStyle name="Standaard 22 2 3 2 2" xfId="2312"/>
    <cellStyle name="Standaard 22 2 3 2 2 2" xfId="4454"/>
    <cellStyle name="Standaard 22 2 3 2 3" xfId="3403"/>
    <cellStyle name="Standaard 22 2 3 2 4" xfId="5500"/>
    <cellStyle name="Standaard 22 2 3 3" xfId="1795"/>
    <cellStyle name="Standaard 22 2 3 3 2" xfId="3937"/>
    <cellStyle name="Standaard 22 2 3 4" xfId="2886"/>
    <cellStyle name="Standaard 22 2 3 5" xfId="4983"/>
    <cellStyle name="Standaard 22 2 4" xfId="947"/>
    <cellStyle name="Standaard 22 2 4 2" xfId="2053"/>
    <cellStyle name="Standaard 22 2 4 2 2" xfId="4195"/>
    <cellStyle name="Standaard 22 2 4 3" xfId="3144"/>
    <cellStyle name="Standaard 22 2 4 4" xfId="5241"/>
    <cellStyle name="Standaard 22 2 5" xfId="1528"/>
    <cellStyle name="Standaard 22 2 5 2" xfId="3678"/>
    <cellStyle name="Standaard 22 2 6" xfId="2627"/>
    <cellStyle name="Standaard 22 2 7" xfId="4724"/>
    <cellStyle name="Standaard 22 3" xfId="445"/>
    <cellStyle name="Standaard 22 3 2" xfId="752"/>
    <cellStyle name="Standaard 22 3 2 2" xfId="1271"/>
    <cellStyle name="Standaard 22 3 2 2 2" xfId="2377"/>
    <cellStyle name="Standaard 22 3 2 2 2 2" xfId="4519"/>
    <cellStyle name="Standaard 22 3 2 2 3" xfId="3468"/>
    <cellStyle name="Standaard 22 3 2 2 4" xfId="5565"/>
    <cellStyle name="Standaard 22 3 2 3" xfId="1860"/>
    <cellStyle name="Standaard 22 3 2 3 2" xfId="4002"/>
    <cellStyle name="Standaard 22 3 2 4" xfId="2951"/>
    <cellStyle name="Standaard 22 3 2 5" xfId="5048"/>
    <cellStyle name="Standaard 22 3 3" xfId="1012"/>
    <cellStyle name="Standaard 22 3 3 2" xfId="2118"/>
    <cellStyle name="Standaard 22 3 3 2 2" xfId="4260"/>
    <cellStyle name="Standaard 22 3 3 3" xfId="3209"/>
    <cellStyle name="Standaard 22 3 3 4" xfId="5306"/>
    <cellStyle name="Standaard 22 3 4" xfId="1595"/>
    <cellStyle name="Standaard 22 3 4 2" xfId="3743"/>
    <cellStyle name="Standaard 22 3 5" xfId="2692"/>
    <cellStyle name="Standaard 22 3 6" xfId="4789"/>
    <cellStyle name="Standaard 22 4" xfId="626"/>
    <cellStyle name="Standaard 22 4 2" xfId="1145"/>
    <cellStyle name="Standaard 22 4 2 2" xfId="2251"/>
    <cellStyle name="Standaard 22 4 2 2 2" xfId="4393"/>
    <cellStyle name="Standaard 22 4 2 3" xfId="3342"/>
    <cellStyle name="Standaard 22 4 2 4" xfId="5439"/>
    <cellStyle name="Standaard 22 4 3" xfId="1734"/>
    <cellStyle name="Standaard 22 4 3 2" xfId="3876"/>
    <cellStyle name="Standaard 22 4 4" xfId="2825"/>
    <cellStyle name="Standaard 22 4 5" xfId="4922"/>
    <cellStyle name="Standaard 22 5" xfId="886"/>
    <cellStyle name="Standaard 22 5 2" xfId="1992"/>
    <cellStyle name="Standaard 22 5 2 2" xfId="4134"/>
    <cellStyle name="Standaard 22 5 3" xfId="3083"/>
    <cellStyle name="Standaard 22 5 4" xfId="5180"/>
    <cellStyle name="Standaard 22 6" xfId="1444"/>
    <cellStyle name="Standaard 22 6 2" xfId="3617"/>
    <cellStyle name="Standaard 22 7" xfId="2566"/>
    <cellStyle name="Standaard 22 8" xfId="4663"/>
    <cellStyle name="Standaard 23" xfId="322"/>
    <cellStyle name="Standaard 24" xfId="333"/>
    <cellStyle name="Standaard 24 2" xfId="398"/>
    <cellStyle name="Standaard 25" xfId="368"/>
    <cellStyle name="Standaard 25 2" xfId="400"/>
    <cellStyle name="Standaard 26" xfId="369"/>
    <cellStyle name="Standaard 26 2" xfId="401"/>
    <cellStyle name="Standaard 27" xfId="366"/>
    <cellStyle name="Standaard 27 2" xfId="399"/>
    <cellStyle name="Standaard 28" xfId="323"/>
    <cellStyle name="Standaard 28 2" xfId="482"/>
    <cellStyle name="Standaard 28 2 2" xfId="781"/>
    <cellStyle name="Standaard 28 2 2 2" xfId="1300"/>
    <cellStyle name="Standaard 28 2 2 2 2" xfId="2406"/>
    <cellStyle name="Standaard 28 2 2 2 2 2" xfId="4548"/>
    <cellStyle name="Standaard 28 2 2 2 3" xfId="3497"/>
    <cellStyle name="Standaard 28 2 2 2 4" xfId="5594"/>
    <cellStyle name="Standaard 28 2 2 3" xfId="1889"/>
    <cellStyle name="Standaard 28 2 2 3 2" xfId="4031"/>
    <cellStyle name="Standaard 28 2 2 4" xfId="2980"/>
    <cellStyle name="Standaard 28 2 2 5" xfId="5077"/>
    <cellStyle name="Standaard 28 2 3" xfId="1041"/>
    <cellStyle name="Standaard 28 2 3 2" xfId="2147"/>
    <cellStyle name="Standaard 28 2 3 2 2" xfId="4289"/>
    <cellStyle name="Standaard 28 2 3 3" xfId="3238"/>
    <cellStyle name="Standaard 28 2 3 4" xfId="5335"/>
    <cellStyle name="Standaard 28 2 4" xfId="1626"/>
    <cellStyle name="Standaard 28 2 4 2" xfId="3772"/>
    <cellStyle name="Standaard 28 2 5" xfId="2721"/>
    <cellStyle name="Standaard 28 2 6" xfId="4818"/>
    <cellStyle name="Standaard 28 3" xfId="655"/>
    <cellStyle name="Standaard 28 3 2" xfId="1174"/>
    <cellStyle name="Standaard 28 3 2 2" xfId="2280"/>
    <cellStyle name="Standaard 28 3 2 2 2" xfId="4422"/>
    <cellStyle name="Standaard 28 3 2 3" xfId="3371"/>
    <cellStyle name="Standaard 28 3 2 4" xfId="5468"/>
    <cellStyle name="Standaard 28 3 3" xfId="1763"/>
    <cellStyle name="Standaard 28 3 3 2" xfId="3905"/>
    <cellStyle name="Standaard 28 3 4" xfId="2854"/>
    <cellStyle name="Standaard 28 3 5" xfId="4951"/>
    <cellStyle name="Standaard 28 4" xfId="915"/>
    <cellStyle name="Standaard 28 4 2" xfId="2021"/>
    <cellStyle name="Standaard 28 4 2 2" xfId="4163"/>
    <cellStyle name="Standaard 28 4 3" xfId="3112"/>
    <cellStyle name="Standaard 28 4 4" xfId="5209"/>
    <cellStyle name="Standaard 28 5" xfId="1494"/>
    <cellStyle name="Standaard 28 5 2" xfId="3646"/>
    <cellStyle name="Standaard 28 6" xfId="2595"/>
    <cellStyle name="Standaard 28 7" xfId="4692"/>
    <cellStyle name="Standaard 29" xfId="332"/>
    <cellStyle name="Standaard 3" xfId="15"/>
    <cellStyle name="Standaard 3 2" xfId="16"/>
    <cellStyle name="Standaard 3 2 2" xfId="45"/>
    <cellStyle name="Standaard 3 2 2 2" xfId="294"/>
    <cellStyle name="Standaard 3 2 3" xfId="290"/>
    <cellStyle name="Standaard 3 3" xfId="17"/>
    <cellStyle name="Standaard 3 3 2" xfId="46"/>
    <cellStyle name="Standaard 3 4" xfId="18"/>
    <cellStyle name="Standaard 3 5" xfId="19"/>
    <cellStyle name="Standaard 3 6" xfId="287"/>
    <cellStyle name="Standaard 3_5-Indeling van de captures" xfId="20"/>
    <cellStyle name="Standaard 30" xfId="394"/>
    <cellStyle name="Standaard 31" xfId="395"/>
    <cellStyle name="Standaard 32" xfId="396"/>
    <cellStyle name="Standaard 33" xfId="402"/>
    <cellStyle name="Standaard 34" xfId="397"/>
    <cellStyle name="Standaard 35" xfId="403"/>
    <cellStyle name="Standaard 35 2" xfId="562"/>
    <cellStyle name="Standaard 35 3" xfId="427"/>
    <cellStyle name="Standaard 35 4" xfId="716"/>
    <cellStyle name="Standaard 35 4 2" xfId="1235"/>
    <cellStyle name="Standaard 35 4 2 2" xfId="2341"/>
    <cellStyle name="Standaard 35 4 2 2 2" xfId="4483"/>
    <cellStyle name="Standaard 35 4 2 3" xfId="3432"/>
    <cellStyle name="Standaard 35 4 2 4" xfId="5529"/>
    <cellStyle name="Standaard 35 4 3" xfId="1824"/>
    <cellStyle name="Standaard 35 4 3 2" xfId="3966"/>
    <cellStyle name="Standaard 35 4 4" xfId="2915"/>
    <cellStyle name="Standaard 35 4 5" xfId="5012"/>
    <cellStyle name="Standaard 35 5" xfId="976"/>
    <cellStyle name="Standaard 35 5 2" xfId="2082"/>
    <cellStyle name="Standaard 35 5 2 2" xfId="4224"/>
    <cellStyle name="Standaard 35 5 3" xfId="3173"/>
    <cellStyle name="Standaard 35 5 4" xfId="5270"/>
    <cellStyle name="Standaard 35 6" xfId="1559"/>
    <cellStyle name="Standaard 35 6 2" xfId="3707"/>
    <cellStyle name="Standaard 35 7" xfId="2656"/>
    <cellStyle name="Standaard 35 8" xfId="4753"/>
    <cellStyle name="Standaard 36" xfId="431"/>
    <cellStyle name="Standaard 36 2" xfId="564"/>
    <cellStyle name="Standaard 37" xfId="560"/>
    <cellStyle name="Standaard 38" xfId="563"/>
    <cellStyle name="Standaard 39" xfId="553"/>
    <cellStyle name="Standaard 4" xfId="21"/>
    <cellStyle name="Standaard 4 2" xfId="22"/>
    <cellStyle name="Standaard 4 2 2" xfId="278"/>
    <cellStyle name="Standaard 4 2 3" xfId="291"/>
    <cellStyle name="Standaard 4 3" xfId="23"/>
    <cellStyle name="Standaard 4 3 2" xfId="262"/>
    <cellStyle name="Standaard 4 3 3" xfId="211"/>
    <cellStyle name="Standaard 4 4" xfId="293"/>
    <cellStyle name="Standaard 40" xfId="432"/>
    <cellStyle name="Standaard 41" xfId="429"/>
    <cellStyle name="Standaard 42" xfId="556"/>
    <cellStyle name="Standaard 43" xfId="415"/>
    <cellStyle name="Standaard 43 2" xfId="728"/>
    <cellStyle name="Standaard 43 2 2" xfId="1247"/>
    <cellStyle name="Standaard 43 2 2 2" xfId="2353"/>
    <cellStyle name="Standaard 43 2 2 2 2" xfId="4495"/>
    <cellStyle name="Standaard 43 2 2 3" xfId="3444"/>
    <cellStyle name="Standaard 43 2 2 4" xfId="5541"/>
    <cellStyle name="Standaard 43 2 3" xfId="1836"/>
    <cellStyle name="Standaard 43 2 3 2" xfId="3978"/>
    <cellStyle name="Standaard 43 2 4" xfId="2927"/>
    <cellStyle name="Standaard 43 2 5" xfId="5024"/>
    <cellStyle name="Standaard 43 3" xfId="988"/>
    <cellStyle name="Standaard 43 3 2" xfId="2094"/>
    <cellStyle name="Standaard 43 3 2 2" xfId="4236"/>
    <cellStyle name="Standaard 43 3 3" xfId="3185"/>
    <cellStyle name="Standaard 43 3 4" xfId="5282"/>
    <cellStyle name="Standaard 43 4" xfId="1571"/>
    <cellStyle name="Standaard 43 4 2" xfId="3719"/>
    <cellStyle name="Standaard 43 5" xfId="2668"/>
    <cellStyle name="Standaard 43 6" xfId="4765"/>
    <cellStyle name="Standaard 44" xfId="583"/>
    <cellStyle name="Standaard 44 2" xfId="842"/>
    <cellStyle name="Standaard 44 2 2" xfId="1361"/>
    <cellStyle name="Standaard 44 2 2 2" xfId="2467"/>
    <cellStyle name="Standaard 44 2 2 2 2" xfId="4609"/>
    <cellStyle name="Standaard 44 2 2 3" xfId="3558"/>
    <cellStyle name="Standaard 44 2 2 4" xfId="5655"/>
    <cellStyle name="Standaard 44 2 3" xfId="1950"/>
    <cellStyle name="Standaard 44 2 3 2" xfId="4092"/>
    <cellStyle name="Standaard 44 2 4" xfId="3041"/>
    <cellStyle name="Standaard 44 2 5" xfId="5138"/>
    <cellStyle name="Standaard 44 3" xfId="1102"/>
    <cellStyle name="Standaard 44 3 2" xfId="2208"/>
    <cellStyle name="Standaard 44 3 2 2" xfId="4350"/>
    <cellStyle name="Standaard 44 3 3" xfId="3299"/>
    <cellStyle name="Standaard 44 3 4" xfId="5396"/>
    <cellStyle name="Standaard 44 4" xfId="1691"/>
    <cellStyle name="Standaard 44 4 2" xfId="3833"/>
    <cellStyle name="Standaard 44 5" xfId="2782"/>
    <cellStyle name="Standaard 44 6" xfId="4879"/>
    <cellStyle name="Standaard 45" xfId="584"/>
    <cellStyle name="Standaard 45 2" xfId="843"/>
    <cellStyle name="Standaard 45 2 2" xfId="1362"/>
    <cellStyle name="Standaard 45 2 2 2" xfId="2468"/>
    <cellStyle name="Standaard 45 2 2 2 2" xfId="4610"/>
    <cellStyle name="Standaard 45 2 2 3" xfId="3559"/>
    <cellStyle name="Standaard 45 2 2 4" xfId="5656"/>
    <cellStyle name="Standaard 45 2 3" xfId="1951"/>
    <cellStyle name="Standaard 45 2 3 2" xfId="4093"/>
    <cellStyle name="Standaard 45 2 4" xfId="3042"/>
    <cellStyle name="Standaard 45 2 5" xfId="5139"/>
    <cellStyle name="Standaard 45 3" xfId="1103"/>
    <cellStyle name="Standaard 45 3 2" xfId="2209"/>
    <cellStyle name="Standaard 45 3 2 2" xfId="4351"/>
    <cellStyle name="Standaard 45 3 3" xfId="3300"/>
    <cellStyle name="Standaard 45 3 4" xfId="5397"/>
    <cellStyle name="Standaard 45 4" xfId="1692"/>
    <cellStyle name="Standaard 45 4 2" xfId="3834"/>
    <cellStyle name="Standaard 45 5" xfId="2783"/>
    <cellStyle name="Standaard 45 6" xfId="4880"/>
    <cellStyle name="Standaard 46" xfId="585"/>
    <cellStyle name="Standaard 46 2" xfId="844"/>
    <cellStyle name="Standaard 46 2 2" xfId="1363"/>
    <cellStyle name="Standaard 46 2 2 2" xfId="2469"/>
    <cellStyle name="Standaard 46 2 2 2 2" xfId="4611"/>
    <cellStyle name="Standaard 46 2 2 3" xfId="3560"/>
    <cellStyle name="Standaard 46 2 2 4" xfId="5657"/>
    <cellStyle name="Standaard 46 2 3" xfId="1952"/>
    <cellStyle name="Standaard 46 2 3 2" xfId="4094"/>
    <cellStyle name="Standaard 46 2 4" xfId="3043"/>
    <cellStyle name="Standaard 46 2 5" xfId="5140"/>
    <cellStyle name="Standaard 46 3" xfId="1104"/>
    <cellStyle name="Standaard 46 3 2" xfId="2210"/>
    <cellStyle name="Standaard 46 3 2 2" xfId="4352"/>
    <cellStyle name="Standaard 46 3 3" xfId="3301"/>
    <cellStyle name="Standaard 46 3 4" xfId="5398"/>
    <cellStyle name="Standaard 46 4" xfId="1693"/>
    <cellStyle name="Standaard 46 4 2" xfId="3835"/>
    <cellStyle name="Standaard 46 5" xfId="2784"/>
    <cellStyle name="Standaard 46 6" xfId="4881"/>
    <cellStyle name="Standaard 47" xfId="586"/>
    <cellStyle name="Standaard 47 2" xfId="845"/>
    <cellStyle name="Standaard 47 2 2" xfId="1364"/>
    <cellStyle name="Standaard 47 2 2 2" xfId="2470"/>
    <cellStyle name="Standaard 47 2 2 2 2" xfId="4612"/>
    <cellStyle name="Standaard 47 2 2 3" xfId="3561"/>
    <cellStyle name="Standaard 47 2 2 4" xfId="5658"/>
    <cellStyle name="Standaard 47 2 3" xfId="1953"/>
    <cellStyle name="Standaard 47 2 3 2" xfId="4095"/>
    <cellStyle name="Standaard 47 2 4" xfId="3044"/>
    <cellStyle name="Standaard 47 2 5" xfId="5141"/>
    <cellStyle name="Standaard 47 3" xfId="1105"/>
    <cellStyle name="Standaard 47 3 2" xfId="2211"/>
    <cellStyle name="Standaard 47 3 2 2" xfId="4353"/>
    <cellStyle name="Standaard 47 3 3" xfId="3302"/>
    <cellStyle name="Standaard 47 3 4" xfId="5399"/>
    <cellStyle name="Standaard 47 4" xfId="1694"/>
    <cellStyle name="Standaard 47 4 2" xfId="3836"/>
    <cellStyle name="Standaard 47 5" xfId="2785"/>
    <cellStyle name="Standaard 47 6" xfId="4882"/>
    <cellStyle name="Standaard 48" xfId="587"/>
    <cellStyle name="Standaard 48 2" xfId="846"/>
    <cellStyle name="Standaard 48 2 2" xfId="1365"/>
    <cellStyle name="Standaard 48 2 2 2" xfId="2471"/>
    <cellStyle name="Standaard 48 2 2 2 2" xfId="4613"/>
    <cellStyle name="Standaard 48 2 2 3" xfId="3562"/>
    <cellStyle name="Standaard 48 2 2 4" xfId="5659"/>
    <cellStyle name="Standaard 48 2 3" xfId="1954"/>
    <cellStyle name="Standaard 48 2 3 2" xfId="4096"/>
    <cellStyle name="Standaard 48 2 4" xfId="3045"/>
    <cellStyle name="Standaard 48 2 5" xfId="5142"/>
    <cellStyle name="Standaard 48 3" xfId="1106"/>
    <cellStyle name="Standaard 48 3 2" xfId="2212"/>
    <cellStyle name="Standaard 48 3 2 2" xfId="4354"/>
    <cellStyle name="Standaard 48 3 3" xfId="3303"/>
    <cellStyle name="Standaard 48 3 4" xfId="5400"/>
    <cellStyle name="Standaard 48 4" xfId="1695"/>
    <cellStyle name="Standaard 48 4 2" xfId="3837"/>
    <cellStyle name="Standaard 48 5" xfId="2786"/>
    <cellStyle name="Standaard 48 6" xfId="4883"/>
    <cellStyle name="Standaard 49" xfId="588"/>
    <cellStyle name="Standaard 49 2" xfId="847"/>
    <cellStyle name="Standaard 49 2 2" xfId="1366"/>
    <cellStyle name="Standaard 49 2 2 2" xfId="2472"/>
    <cellStyle name="Standaard 49 2 2 2 2" xfId="4614"/>
    <cellStyle name="Standaard 49 2 2 3" xfId="3563"/>
    <cellStyle name="Standaard 49 2 2 4" xfId="5660"/>
    <cellStyle name="Standaard 49 2 3" xfId="1955"/>
    <cellStyle name="Standaard 49 2 3 2" xfId="4097"/>
    <cellStyle name="Standaard 49 2 4" xfId="3046"/>
    <cellStyle name="Standaard 49 2 5" xfId="5143"/>
    <cellStyle name="Standaard 49 3" xfId="1107"/>
    <cellStyle name="Standaard 49 3 2" xfId="2213"/>
    <cellStyle name="Standaard 49 3 2 2" xfId="4355"/>
    <cellStyle name="Standaard 49 3 3" xfId="3304"/>
    <cellStyle name="Standaard 49 3 4" xfId="5401"/>
    <cellStyle name="Standaard 49 4" xfId="1696"/>
    <cellStyle name="Standaard 49 4 2" xfId="3838"/>
    <cellStyle name="Standaard 49 5" xfId="2787"/>
    <cellStyle name="Standaard 49 6" xfId="4884"/>
    <cellStyle name="Standaard 5" xfId="24"/>
    <cellStyle name="Standaard 5 2" xfId="25"/>
    <cellStyle name="Standaard 5 2 2" xfId="280"/>
    <cellStyle name="Standaard 5 2 3" xfId="289"/>
    <cellStyle name="Standaard 5 3" xfId="26"/>
    <cellStyle name="Standaard 5 3 2" xfId="261"/>
    <cellStyle name="Standaard 5 3 3" xfId="286"/>
    <cellStyle name="Standaard 5 3 4" xfId="212"/>
    <cellStyle name="Standaard 5 4" xfId="279"/>
    <cellStyle name="Standaard 5 5" xfId="292"/>
    <cellStyle name="Standaard 50" xfId="589"/>
    <cellStyle name="Standaard 50 2" xfId="848"/>
    <cellStyle name="Standaard 50 2 2" xfId="1367"/>
    <cellStyle name="Standaard 50 2 2 2" xfId="2473"/>
    <cellStyle name="Standaard 50 2 2 2 2" xfId="4615"/>
    <cellStyle name="Standaard 50 2 2 3" xfId="3564"/>
    <cellStyle name="Standaard 50 2 2 4" xfId="5661"/>
    <cellStyle name="Standaard 50 2 3" xfId="1956"/>
    <cellStyle name="Standaard 50 2 3 2" xfId="4098"/>
    <cellStyle name="Standaard 50 2 4" xfId="3047"/>
    <cellStyle name="Standaard 50 2 5" xfId="5144"/>
    <cellStyle name="Standaard 50 3" xfId="1108"/>
    <cellStyle name="Standaard 50 3 2" xfId="2214"/>
    <cellStyle name="Standaard 50 3 2 2" xfId="4356"/>
    <cellStyle name="Standaard 50 3 3" xfId="3305"/>
    <cellStyle name="Standaard 50 3 4" xfId="5402"/>
    <cellStyle name="Standaard 50 4" xfId="1697"/>
    <cellStyle name="Standaard 50 4 2" xfId="3839"/>
    <cellStyle name="Standaard 50 5" xfId="2788"/>
    <cellStyle name="Standaard 50 6" xfId="4885"/>
    <cellStyle name="Standaard 51" xfId="590"/>
    <cellStyle name="Standaard 51 2" xfId="849"/>
    <cellStyle name="Standaard 51 2 2" xfId="1368"/>
    <cellStyle name="Standaard 51 2 2 2" xfId="2474"/>
    <cellStyle name="Standaard 51 2 2 2 2" xfId="4616"/>
    <cellStyle name="Standaard 51 2 2 3" xfId="3565"/>
    <cellStyle name="Standaard 51 2 2 4" xfId="5662"/>
    <cellStyle name="Standaard 51 2 3" xfId="1957"/>
    <cellStyle name="Standaard 51 2 3 2" xfId="4099"/>
    <cellStyle name="Standaard 51 2 4" xfId="3048"/>
    <cellStyle name="Standaard 51 2 5" xfId="5145"/>
    <cellStyle name="Standaard 51 3" xfId="1109"/>
    <cellStyle name="Standaard 51 3 2" xfId="2215"/>
    <cellStyle name="Standaard 51 3 2 2" xfId="4357"/>
    <cellStyle name="Standaard 51 3 3" xfId="3306"/>
    <cellStyle name="Standaard 51 3 4" xfId="5403"/>
    <cellStyle name="Standaard 51 4" xfId="1698"/>
    <cellStyle name="Standaard 51 4 2" xfId="3840"/>
    <cellStyle name="Standaard 51 5" xfId="2789"/>
    <cellStyle name="Standaard 51 6" xfId="4886"/>
    <cellStyle name="Standaard 52" xfId="591"/>
    <cellStyle name="Standaard 52 2" xfId="850"/>
    <cellStyle name="Standaard 52 2 2" xfId="1369"/>
    <cellStyle name="Standaard 52 2 2 2" xfId="2475"/>
    <cellStyle name="Standaard 52 2 2 2 2" xfId="4617"/>
    <cellStyle name="Standaard 52 2 2 3" xfId="3566"/>
    <cellStyle name="Standaard 52 2 2 4" xfId="5663"/>
    <cellStyle name="Standaard 52 2 3" xfId="1958"/>
    <cellStyle name="Standaard 52 2 3 2" xfId="4100"/>
    <cellStyle name="Standaard 52 2 4" xfId="3049"/>
    <cellStyle name="Standaard 52 2 5" xfId="5146"/>
    <cellStyle name="Standaard 52 3" xfId="1110"/>
    <cellStyle name="Standaard 52 3 2" xfId="2216"/>
    <cellStyle name="Standaard 52 3 2 2" xfId="4358"/>
    <cellStyle name="Standaard 52 3 3" xfId="3307"/>
    <cellStyle name="Standaard 52 3 4" xfId="5404"/>
    <cellStyle name="Standaard 52 4" xfId="1699"/>
    <cellStyle name="Standaard 52 4 2" xfId="3841"/>
    <cellStyle name="Standaard 52 5" xfId="2790"/>
    <cellStyle name="Standaard 52 6" xfId="4887"/>
    <cellStyle name="Standaard 53" xfId="592"/>
    <cellStyle name="Standaard 53 2" xfId="851"/>
    <cellStyle name="Standaard 53 2 2" xfId="1370"/>
    <cellStyle name="Standaard 53 2 2 2" xfId="2476"/>
    <cellStyle name="Standaard 53 2 2 2 2" xfId="4618"/>
    <cellStyle name="Standaard 53 2 2 3" xfId="3567"/>
    <cellStyle name="Standaard 53 2 2 4" xfId="5664"/>
    <cellStyle name="Standaard 53 2 3" xfId="1959"/>
    <cellStyle name="Standaard 53 2 3 2" xfId="4101"/>
    <cellStyle name="Standaard 53 2 4" xfId="3050"/>
    <cellStyle name="Standaard 53 2 5" xfId="5147"/>
    <cellStyle name="Standaard 53 3" xfId="1111"/>
    <cellStyle name="Standaard 53 3 2" xfId="2217"/>
    <cellStyle name="Standaard 53 3 2 2" xfId="4359"/>
    <cellStyle name="Standaard 53 3 3" xfId="3308"/>
    <cellStyle name="Standaard 53 3 4" xfId="5405"/>
    <cellStyle name="Standaard 53 4" xfId="1700"/>
    <cellStyle name="Standaard 53 4 2" xfId="3842"/>
    <cellStyle name="Standaard 53 5" xfId="2791"/>
    <cellStyle name="Standaard 53 6" xfId="4888"/>
    <cellStyle name="Standaard 54" xfId="593"/>
    <cellStyle name="Standaard 54 2" xfId="852"/>
    <cellStyle name="Standaard 54 2 2" xfId="1371"/>
    <cellStyle name="Standaard 54 2 2 2" xfId="2477"/>
    <cellStyle name="Standaard 54 2 2 2 2" xfId="4619"/>
    <cellStyle name="Standaard 54 2 2 3" xfId="3568"/>
    <cellStyle name="Standaard 54 2 2 4" xfId="5665"/>
    <cellStyle name="Standaard 54 2 3" xfId="1960"/>
    <cellStyle name="Standaard 54 2 3 2" xfId="4102"/>
    <cellStyle name="Standaard 54 2 4" xfId="3051"/>
    <cellStyle name="Standaard 54 2 5" xfId="5148"/>
    <cellStyle name="Standaard 54 3" xfId="1112"/>
    <cellStyle name="Standaard 54 3 2" xfId="2218"/>
    <cellStyle name="Standaard 54 3 2 2" xfId="4360"/>
    <cellStyle name="Standaard 54 3 3" xfId="3309"/>
    <cellStyle name="Standaard 54 3 4" xfId="5406"/>
    <cellStyle name="Standaard 54 4" xfId="1701"/>
    <cellStyle name="Standaard 54 4 2" xfId="3843"/>
    <cellStyle name="Standaard 54 5" xfId="2792"/>
    <cellStyle name="Standaard 54 6" xfId="4889"/>
    <cellStyle name="Standaard 55" xfId="594"/>
    <cellStyle name="Standaard 55 2" xfId="853"/>
    <cellStyle name="Standaard 55 2 2" xfId="1372"/>
    <cellStyle name="Standaard 55 2 2 2" xfId="2478"/>
    <cellStyle name="Standaard 55 2 2 2 2" xfId="4620"/>
    <cellStyle name="Standaard 55 2 2 3" xfId="3569"/>
    <cellStyle name="Standaard 55 2 2 4" xfId="5666"/>
    <cellStyle name="Standaard 55 2 3" xfId="1961"/>
    <cellStyle name="Standaard 55 2 3 2" xfId="4103"/>
    <cellStyle name="Standaard 55 2 4" xfId="3052"/>
    <cellStyle name="Standaard 55 2 5" xfId="5149"/>
    <cellStyle name="Standaard 55 3" xfId="1113"/>
    <cellStyle name="Standaard 55 3 2" xfId="2219"/>
    <cellStyle name="Standaard 55 3 2 2" xfId="4361"/>
    <cellStyle name="Standaard 55 3 3" xfId="3310"/>
    <cellStyle name="Standaard 55 3 4" xfId="5407"/>
    <cellStyle name="Standaard 55 4" xfId="1702"/>
    <cellStyle name="Standaard 55 4 2" xfId="3844"/>
    <cellStyle name="Standaard 55 5" xfId="2793"/>
    <cellStyle name="Standaard 55 6" xfId="4890"/>
    <cellStyle name="Standaard 56" xfId="595"/>
    <cellStyle name="Standaard 56 2" xfId="854"/>
    <cellStyle name="Standaard 56 2 2" xfId="1373"/>
    <cellStyle name="Standaard 56 2 2 2" xfId="2479"/>
    <cellStyle name="Standaard 56 2 2 2 2" xfId="4621"/>
    <cellStyle name="Standaard 56 2 2 3" xfId="3570"/>
    <cellStyle name="Standaard 56 2 2 4" xfId="5667"/>
    <cellStyle name="Standaard 56 2 3" xfId="1962"/>
    <cellStyle name="Standaard 56 2 3 2" xfId="4104"/>
    <cellStyle name="Standaard 56 2 4" xfId="3053"/>
    <cellStyle name="Standaard 56 2 5" xfId="5150"/>
    <cellStyle name="Standaard 56 3" xfId="1114"/>
    <cellStyle name="Standaard 56 3 2" xfId="2220"/>
    <cellStyle name="Standaard 56 3 2 2" xfId="4362"/>
    <cellStyle name="Standaard 56 3 3" xfId="3311"/>
    <cellStyle name="Standaard 56 3 4" xfId="5408"/>
    <cellStyle name="Standaard 56 4" xfId="1703"/>
    <cellStyle name="Standaard 56 4 2" xfId="3845"/>
    <cellStyle name="Standaard 56 5" xfId="2794"/>
    <cellStyle name="Standaard 56 6" xfId="4891"/>
    <cellStyle name="Standaard 57" xfId="596"/>
    <cellStyle name="Standaard 57 2" xfId="855"/>
    <cellStyle name="Standaard 57 2 2" xfId="1374"/>
    <cellStyle name="Standaard 57 2 2 2" xfId="2480"/>
    <cellStyle name="Standaard 57 2 2 2 2" xfId="4622"/>
    <cellStyle name="Standaard 57 2 2 3" xfId="3571"/>
    <cellStyle name="Standaard 57 2 2 4" xfId="5668"/>
    <cellStyle name="Standaard 57 2 3" xfId="1963"/>
    <cellStyle name="Standaard 57 2 3 2" xfId="4105"/>
    <cellStyle name="Standaard 57 2 4" xfId="3054"/>
    <cellStyle name="Standaard 57 2 5" xfId="5151"/>
    <cellStyle name="Standaard 57 3" xfId="1115"/>
    <cellStyle name="Standaard 57 3 2" xfId="2221"/>
    <cellStyle name="Standaard 57 3 2 2" xfId="4363"/>
    <cellStyle name="Standaard 57 3 3" xfId="3312"/>
    <cellStyle name="Standaard 57 3 4" xfId="5409"/>
    <cellStyle name="Standaard 57 4" xfId="1704"/>
    <cellStyle name="Standaard 57 4 2" xfId="3846"/>
    <cellStyle name="Standaard 57 5" xfId="2795"/>
    <cellStyle name="Standaard 57 6" xfId="4892"/>
    <cellStyle name="Standaard 58" xfId="597"/>
    <cellStyle name="Standaard 58 2" xfId="856"/>
    <cellStyle name="Standaard 58 2 2" xfId="1375"/>
    <cellStyle name="Standaard 58 2 2 2" xfId="2481"/>
    <cellStyle name="Standaard 58 2 2 2 2" xfId="4623"/>
    <cellStyle name="Standaard 58 2 2 3" xfId="3572"/>
    <cellStyle name="Standaard 58 2 2 4" xfId="5669"/>
    <cellStyle name="Standaard 58 2 3" xfId="1964"/>
    <cellStyle name="Standaard 58 2 3 2" xfId="4106"/>
    <cellStyle name="Standaard 58 2 4" xfId="3055"/>
    <cellStyle name="Standaard 58 2 5" xfId="5152"/>
    <cellStyle name="Standaard 58 3" xfId="1116"/>
    <cellStyle name="Standaard 58 3 2" xfId="2222"/>
    <cellStyle name="Standaard 58 3 2 2" xfId="4364"/>
    <cellStyle name="Standaard 58 3 3" xfId="3313"/>
    <cellStyle name="Standaard 58 3 4" xfId="5410"/>
    <cellStyle name="Standaard 58 4" xfId="1705"/>
    <cellStyle name="Standaard 58 4 2" xfId="3847"/>
    <cellStyle name="Standaard 58 5" xfId="2796"/>
    <cellStyle name="Standaard 58 6" xfId="4893"/>
    <cellStyle name="Standaard 59" xfId="598"/>
    <cellStyle name="Standaard 59 2" xfId="857"/>
    <cellStyle name="Standaard 59 2 2" xfId="1376"/>
    <cellStyle name="Standaard 59 2 2 2" xfId="2482"/>
    <cellStyle name="Standaard 59 2 2 2 2" xfId="4624"/>
    <cellStyle name="Standaard 59 2 2 3" xfId="3573"/>
    <cellStyle name="Standaard 59 2 2 4" xfId="5670"/>
    <cellStyle name="Standaard 59 2 3" xfId="1965"/>
    <cellStyle name="Standaard 59 2 3 2" xfId="4107"/>
    <cellStyle name="Standaard 59 2 4" xfId="3056"/>
    <cellStyle name="Standaard 59 2 5" xfId="5153"/>
    <cellStyle name="Standaard 59 3" xfId="1117"/>
    <cellStyle name="Standaard 59 3 2" xfId="2223"/>
    <cellStyle name="Standaard 59 3 2 2" xfId="4365"/>
    <cellStyle name="Standaard 59 3 3" xfId="3314"/>
    <cellStyle name="Standaard 59 3 4" xfId="5411"/>
    <cellStyle name="Standaard 59 4" xfId="1706"/>
    <cellStyle name="Standaard 59 4 2" xfId="3848"/>
    <cellStyle name="Standaard 59 5" xfId="2797"/>
    <cellStyle name="Standaard 59 6" xfId="4894"/>
    <cellStyle name="Standaard 6" xfId="27"/>
    <cellStyle name="Standaard 6 2" xfId="28"/>
    <cellStyle name="Standaard 6 2 2" xfId="48"/>
    <cellStyle name="Standaard 6 3" xfId="47"/>
    <cellStyle name="Standaard 6 4" xfId="118"/>
    <cellStyle name="Standaard 6 4 2" xfId="362"/>
    <cellStyle name="Standaard 6 4 2 2" xfId="516"/>
    <cellStyle name="Standaard 6 4 2 2 2" xfId="815"/>
    <cellStyle name="Standaard 6 4 2 2 2 2" xfId="1334"/>
    <cellStyle name="Standaard 6 4 2 2 2 2 2" xfId="2440"/>
    <cellStyle name="Standaard 6 4 2 2 2 2 2 2" xfId="4582"/>
    <cellStyle name="Standaard 6 4 2 2 2 2 3" xfId="3531"/>
    <cellStyle name="Standaard 6 4 2 2 2 2 4" xfId="5628"/>
    <cellStyle name="Standaard 6 4 2 2 2 3" xfId="1923"/>
    <cellStyle name="Standaard 6 4 2 2 2 3 2" xfId="4065"/>
    <cellStyle name="Standaard 6 4 2 2 2 4" xfId="3014"/>
    <cellStyle name="Standaard 6 4 2 2 2 5" xfId="5111"/>
    <cellStyle name="Standaard 6 4 2 2 3" xfId="1075"/>
    <cellStyle name="Standaard 6 4 2 2 3 2" xfId="2181"/>
    <cellStyle name="Standaard 6 4 2 2 3 2 2" xfId="4323"/>
    <cellStyle name="Standaard 6 4 2 2 3 3" xfId="3272"/>
    <cellStyle name="Standaard 6 4 2 2 3 4" xfId="5369"/>
    <cellStyle name="Standaard 6 4 2 2 4" xfId="1660"/>
    <cellStyle name="Standaard 6 4 2 2 4 2" xfId="3806"/>
    <cellStyle name="Standaard 6 4 2 2 5" xfId="2755"/>
    <cellStyle name="Standaard 6 4 2 2 6" xfId="4852"/>
    <cellStyle name="Standaard 6 4 2 3" xfId="689"/>
    <cellStyle name="Standaard 6 4 2 3 2" xfId="1208"/>
    <cellStyle name="Standaard 6 4 2 3 2 2" xfId="2314"/>
    <cellStyle name="Standaard 6 4 2 3 2 2 2" xfId="4456"/>
    <cellStyle name="Standaard 6 4 2 3 2 3" xfId="3405"/>
    <cellStyle name="Standaard 6 4 2 3 2 4" xfId="5502"/>
    <cellStyle name="Standaard 6 4 2 3 3" xfId="1797"/>
    <cellStyle name="Standaard 6 4 2 3 3 2" xfId="3939"/>
    <cellStyle name="Standaard 6 4 2 3 4" xfId="2888"/>
    <cellStyle name="Standaard 6 4 2 3 5" xfId="4985"/>
    <cellStyle name="Standaard 6 4 2 4" xfId="949"/>
    <cellStyle name="Standaard 6 4 2 4 2" xfId="2055"/>
    <cellStyle name="Standaard 6 4 2 4 2 2" xfId="4197"/>
    <cellStyle name="Standaard 6 4 2 4 3" xfId="3146"/>
    <cellStyle name="Standaard 6 4 2 4 4" xfId="5243"/>
    <cellStyle name="Standaard 6 4 2 5" xfId="1530"/>
    <cellStyle name="Standaard 6 4 2 5 2" xfId="3680"/>
    <cellStyle name="Standaard 6 4 2 6" xfId="2629"/>
    <cellStyle name="Standaard 6 4 2 7" xfId="4726"/>
    <cellStyle name="Standaard 6 4 3" xfId="448"/>
    <cellStyle name="Standaard 6 4 3 2" xfId="754"/>
    <cellStyle name="Standaard 6 4 3 2 2" xfId="1273"/>
    <cellStyle name="Standaard 6 4 3 2 2 2" xfId="2379"/>
    <cellStyle name="Standaard 6 4 3 2 2 2 2" xfId="4521"/>
    <cellStyle name="Standaard 6 4 3 2 2 3" xfId="3470"/>
    <cellStyle name="Standaard 6 4 3 2 2 4" xfId="5567"/>
    <cellStyle name="Standaard 6 4 3 2 3" xfId="1862"/>
    <cellStyle name="Standaard 6 4 3 2 3 2" xfId="4004"/>
    <cellStyle name="Standaard 6 4 3 2 4" xfId="2953"/>
    <cellStyle name="Standaard 6 4 3 2 5" xfId="5050"/>
    <cellStyle name="Standaard 6 4 3 3" xfId="1014"/>
    <cellStyle name="Standaard 6 4 3 3 2" xfId="2120"/>
    <cellStyle name="Standaard 6 4 3 3 2 2" xfId="4262"/>
    <cellStyle name="Standaard 6 4 3 3 3" xfId="3211"/>
    <cellStyle name="Standaard 6 4 3 3 4" xfId="5308"/>
    <cellStyle name="Standaard 6 4 3 4" xfId="1597"/>
    <cellStyle name="Standaard 6 4 3 4 2" xfId="3745"/>
    <cellStyle name="Standaard 6 4 3 5" xfId="2694"/>
    <cellStyle name="Standaard 6 4 3 6" xfId="4791"/>
    <cellStyle name="Standaard 6 4 4" xfId="628"/>
    <cellStyle name="Standaard 6 4 4 2" xfId="1147"/>
    <cellStyle name="Standaard 6 4 4 2 2" xfId="2253"/>
    <cellStyle name="Standaard 6 4 4 2 2 2" xfId="4395"/>
    <cellStyle name="Standaard 6 4 4 2 3" xfId="3344"/>
    <cellStyle name="Standaard 6 4 4 2 4" xfId="5441"/>
    <cellStyle name="Standaard 6 4 4 3" xfId="1736"/>
    <cellStyle name="Standaard 6 4 4 3 2" xfId="3878"/>
    <cellStyle name="Standaard 6 4 4 4" xfId="2827"/>
    <cellStyle name="Standaard 6 4 4 5" xfId="4924"/>
    <cellStyle name="Standaard 6 4 5" xfId="888"/>
    <cellStyle name="Standaard 6 4 5 2" xfId="1994"/>
    <cellStyle name="Standaard 6 4 5 2 2" xfId="4136"/>
    <cellStyle name="Standaard 6 4 5 3" xfId="3085"/>
    <cellStyle name="Standaard 6 4 5 4" xfId="5182"/>
    <cellStyle name="Standaard 6 4 6" xfId="1446"/>
    <cellStyle name="Standaard 6 4 6 2" xfId="3619"/>
    <cellStyle name="Standaard 6 4 7" xfId="2568"/>
    <cellStyle name="Standaard 6 4 8" xfId="4665"/>
    <cellStyle name="Standaard 6 5" xfId="326"/>
    <cellStyle name="Standaard 6 5 2" xfId="485"/>
    <cellStyle name="Standaard 6 5 2 2" xfId="784"/>
    <cellStyle name="Standaard 6 5 2 2 2" xfId="1303"/>
    <cellStyle name="Standaard 6 5 2 2 2 2" xfId="2409"/>
    <cellStyle name="Standaard 6 5 2 2 2 2 2" xfId="4551"/>
    <cellStyle name="Standaard 6 5 2 2 2 3" xfId="3500"/>
    <cellStyle name="Standaard 6 5 2 2 2 4" xfId="5597"/>
    <cellStyle name="Standaard 6 5 2 2 3" xfId="1892"/>
    <cellStyle name="Standaard 6 5 2 2 3 2" xfId="4034"/>
    <cellStyle name="Standaard 6 5 2 2 4" xfId="2983"/>
    <cellStyle name="Standaard 6 5 2 2 5" xfId="5080"/>
    <cellStyle name="Standaard 6 5 2 3" xfId="1044"/>
    <cellStyle name="Standaard 6 5 2 3 2" xfId="2150"/>
    <cellStyle name="Standaard 6 5 2 3 2 2" xfId="4292"/>
    <cellStyle name="Standaard 6 5 2 3 3" xfId="3241"/>
    <cellStyle name="Standaard 6 5 2 3 4" xfId="5338"/>
    <cellStyle name="Standaard 6 5 2 4" xfId="1629"/>
    <cellStyle name="Standaard 6 5 2 4 2" xfId="3775"/>
    <cellStyle name="Standaard 6 5 2 5" xfId="2724"/>
    <cellStyle name="Standaard 6 5 2 6" xfId="4821"/>
    <cellStyle name="Standaard 6 5 3" xfId="658"/>
    <cellStyle name="Standaard 6 5 3 2" xfId="1177"/>
    <cellStyle name="Standaard 6 5 3 2 2" xfId="2283"/>
    <cellStyle name="Standaard 6 5 3 2 2 2" xfId="4425"/>
    <cellStyle name="Standaard 6 5 3 2 3" xfId="3374"/>
    <cellStyle name="Standaard 6 5 3 2 4" xfId="5471"/>
    <cellStyle name="Standaard 6 5 3 3" xfId="1766"/>
    <cellStyle name="Standaard 6 5 3 3 2" xfId="3908"/>
    <cellStyle name="Standaard 6 5 3 4" xfId="2857"/>
    <cellStyle name="Standaard 6 5 3 5" xfId="4954"/>
    <cellStyle name="Standaard 6 5 4" xfId="918"/>
    <cellStyle name="Standaard 6 5 4 2" xfId="2024"/>
    <cellStyle name="Standaard 6 5 4 2 2" xfId="4166"/>
    <cellStyle name="Standaard 6 5 4 3" xfId="3115"/>
    <cellStyle name="Standaard 6 5 4 4" xfId="5212"/>
    <cellStyle name="Standaard 6 5 5" xfId="1497"/>
    <cellStyle name="Standaard 6 5 5 2" xfId="3649"/>
    <cellStyle name="Standaard 6 5 6" xfId="2598"/>
    <cellStyle name="Standaard 6 5 7" xfId="4695"/>
    <cellStyle name="Standaard 60" xfId="599"/>
    <cellStyle name="Standaard 60 2" xfId="858"/>
    <cellStyle name="Standaard 60 2 2" xfId="1377"/>
    <cellStyle name="Standaard 60 2 2 2" xfId="2483"/>
    <cellStyle name="Standaard 60 2 2 2 2" xfId="4625"/>
    <cellStyle name="Standaard 60 2 2 3" xfId="3574"/>
    <cellStyle name="Standaard 60 2 2 4" xfId="5671"/>
    <cellStyle name="Standaard 60 2 3" xfId="1966"/>
    <cellStyle name="Standaard 60 2 3 2" xfId="4108"/>
    <cellStyle name="Standaard 60 2 4" xfId="3057"/>
    <cellStyle name="Standaard 60 2 5" xfId="5154"/>
    <cellStyle name="Standaard 60 3" xfId="1118"/>
    <cellStyle name="Standaard 60 3 2" xfId="2224"/>
    <cellStyle name="Standaard 60 3 2 2" xfId="4366"/>
    <cellStyle name="Standaard 60 3 3" xfId="3315"/>
    <cellStyle name="Standaard 60 3 4" xfId="5412"/>
    <cellStyle name="Standaard 60 4" xfId="1707"/>
    <cellStyle name="Standaard 60 4 2" xfId="3849"/>
    <cellStyle name="Standaard 60 5" xfId="2798"/>
    <cellStyle name="Standaard 60 6" xfId="4895"/>
    <cellStyle name="Standaard 61" xfId="600"/>
    <cellStyle name="Standaard 61 2" xfId="859"/>
    <cellStyle name="Standaard 61 2 2" xfId="1378"/>
    <cellStyle name="Standaard 61 2 2 2" xfId="2484"/>
    <cellStyle name="Standaard 61 2 2 2 2" xfId="4626"/>
    <cellStyle name="Standaard 61 2 2 3" xfId="3575"/>
    <cellStyle name="Standaard 61 2 2 4" xfId="5672"/>
    <cellStyle name="Standaard 61 2 3" xfId="1967"/>
    <cellStyle name="Standaard 61 2 3 2" xfId="4109"/>
    <cellStyle name="Standaard 61 2 4" xfId="3058"/>
    <cellStyle name="Standaard 61 2 5" xfId="5155"/>
    <cellStyle name="Standaard 61 3" xfId="1119"/>
    <cellStyle name="Standaard 61 3 2" xfId="2225"/>
    <cellStyle name="Standaard 61 3 2 2" xfId="4367"/>
    <cellStyle name="Standaard 61 3 3" xfId="3316"/>
    <cellStyle name="Standaard 61 3 4" xfId="5413"/>
    <cellStyle name="Standaard 61 4" xfId="1708"/>
    <cellStyle name="Standaard 61 4 2" xfId="3850"/>
    <cellStyle name="Standaard 61 5" xfId="2799"/>
    <cellStyle name="Standaard 61 6" xfId="4896"/>
    <cellStyle name="Standaard 62" xfId="872"/>
    <cellStyle name="Standaard 63" xfId="873"/>
    <cellStyle name="Standaard 64" xfId="1381"/>
    <cellStyle name="Standaard 65" xfId="1385"/>
    <cellStyle name="Standaard 66" xfId="1379"/>
    <cellStyle name="Standaard 67" xfId="1386"/>
    <cellStyle name="Standaard 68" xfId="1380"/>
    <cellStyle name="Standaard 69" xfId="1384"/>
    <cellStyle name="Standaard 7" xfId="29"/>
    <cellStyle name="Standaard 7 2" xfId="30"/>
    <cellStyle name="Standaard 7 2 2" xfId="50"/>
    <cellStyle name="Standaard 7 3" xfId="49"/>
    <cellStyle name="Standaard 7 4" xfId="119"/>
    <cellStyle name="Standaard 7 4 2" xfId="363"/>
    <cellStyle name="Standaard 7 4 2 2" xfId="517"/>
    <cellStyle name="Standaard 7 4 2 2 2" xfId="816"/>
    <cellStyle name="Standaard 7 4 2 2 2 2" xfId="1335"/>
    <cellStyle name="Standaard 7 4 2 2 2 2 2" xfId="2441"/>
    <cellStyle name="Standaard 7 4 2 2 2 2 2 2" xfId="4583"/>
    <cellStyle name="Standaard 7 4 2 2 2 2 3" xfId="3532"/>
    <cellStyle name="Standaard 7 4 2 2 2 2 4" xfId="5629"/>
    <cellStyle name="Standaard 7 4 2 2 2 3" xfId="1924"/>
    <cellStyle name="Standaard 7 4 2 2 2 3 2" xfId="4066"/>
    <cellStyle name="Standaard 7 4 2 2 2 4" xfId="3015"/>
    <cellStyle name="Standaard 7 4 2 2 2 5" xfId="5112"/>
    <cellStyle name="Standaard 7 4 2 2 3" xfId="1076"/>
    <cellStyle name="Standaard 7 4 2 2 3 2" xfId="2182"/>
    <cellStyle name="Standaard 7 4 2 2 3 2 2" xfId="4324"/>
    <cellStyle name="Standaard 7 4 2 2 3 3" xfId="3273"/>
    <cellStyle name="Standaard 7 4 2 2 3 4" xfId="5370"/>
    <cellStyle name="Standaard 7 4 2 2 4" xfId="1661"/>
    <cellStyle name="Standaard 7 4 2 2 4 2" xfId="3807"/>
    <cellStyle name="Standaard 7 4 2 2 5" xfId="2756"/>
    <cellStyle name="Standaard 7 4 2 2 6" xfId="4853"/>
    <cellStyle name="Standaard 7 4 2 3" xfId="690"/>
    <cellStyle name="Standaard 7 4 2 3 2" xfId="1209"/>
    <cellStyle name="Standaard 7 4 2 3 2 2" xfId="2315"/>
    <cellStyle name="Standaard 7 4 2 3 2 2 2" xfId="4457"/>
    <cellStyle name="Standaard 7 4 2 3 2 3" xfId="3406"/>
    <cellStyle name="Standaard 7 4 2 3 2 4" xfId="5503"/>
    <cellStyle name="Standaard 7 4 2 3 3" xfId="1798"/>
    <cellStyle name="Standaard 7 4 2 3 3 2" xfId="3940"/>
    <cellStyle name="Standaard 7 4 2 3 4" xfId="2889"/>
    <cellStyle name="Standaard 7 4 2 3 5" xfId="4986"/>
    <cellStyle name="Standaard 7 4 2 4" xfId="950"/>
    <cellStyle name="Standaard 7 4 2 4 2" xfId="2056"/>
    <cellStyle name="Standaard 7 4 2 4 2 2" xfId="4198"/>
    <cellStyle name="Standaard 7 4 2 4 3" xfId="3147"/>
    <cellStyle name="Standaard 7 4 2 4 4" xfId="5244"/>
    <cellStyle name="Standaard 7 4 2 5" xfId="1531"/>
    <cellStyle name="Standaard 7 4 2 5 2" xfId="3681"/>
    <cellStyle name="Standaard 7 4 2 6" xfId="2630"/>
    <cellStyle name="Standaard 7 4 2 7" xfId="4727"/>
    <cellStyle name="Standaard 7 4 3" xfId="449"/>
    <cellStyle name="Standaard 7 4 3 2" xfId="755"/>
    <cellStyle name="Standaard 7 4 3 2 2" xfId="1274"/>
    <cellStyle name="Standaard 7 4 3 2 2 2" xfId="2380"/>
    <cellStyle name="Standaard 7 4 3 2 2 2 2" xfId="4522"/>
    <cellStyle name="Standaard 7 4 3 2 2 3" xfId="3471"/>
    <cellStyle name="Standaard 7 4 3 2 2 4" xfId="5568"/>
    <cellStyle name="Standaard 7 4 3 2 3" xfId="1863"/>
    <cellStyle name="Standaard 7 4 3 2 3 2" xfId="4005"/>
    <cellStyle name="Standaard 7 4 3 2 4" xfId="2954"/>
    <cellStyle name="Standaard 7 4 3 2 5" xfId="5051"/>
    <cellStyle name="Standaard 7 4 3 3" xfId="1015"/>
    <cellStyle name="Standaard 7 4 3 3 2" xfId="2121"/>
    <cellStyle name="Standaard 7 4 3 3 2 2" xfId="4263"/>
    <cellStyle name="Standaard 7 4 3 3 3" xfId="3212"/>
    <cellStyle name="Standaard 7 4 3 3 4" xfId="5309"/>
    <cellStyle name="Standaard 7 4 3 4" xfId="1598"/>
    <cellStyle name="Standaard 7 4 3 4 2" xfId="3746"/>
    <cellStyle name="Standaard 7 4 3 5" xfId="2695"/>
    <cellStyle name="Standaard 7 4 3 6" xfId="4792"/>
    <cellStyle name="Standaard 7 4 4" xfId="629"/>
    <cellStyle name="Standaard 7 4 4 2" xfId="1148"/>
    <cellStyle name="Standaard 7 4 4 2 2" xfId="2254"/>
    <cellStyle name="Standaard 7 4 4 2 2 2" xfId="4396"/>
    <cellStyle name="Standaard 7 4 4 2 3" xfId="3345"/>
    <cellStyle name="Standaard 7 4 4 2 4" xfId="5442"/>
    <cellStyle name="Standaard 7 4 4 3" xfId="1737"/>
    <cellStyle name="Standaard 7 4 4 3 2" xfId="3879"/>
    <cellStyle name="Standaard 7 4 4 4" xfId="2828"/>
    <cellStyle name="Standaard 7 4 4 5" xfId="4925"/>
    <cellStyle name="Standaard 7 4 5" xfId="889"/>
    <cellStyle name="Standaard 7 4 5 2" xfId="1995"/>
    <cellStyle name="Standaard 7 4 5 2 2" xfId="4137"/>
    <cellStyle name="Standaard 7 4 5 3" xfId="3086"/>
    <cellStyle name="Standaard 7 4 5 4" xfId="5183"/>
    <cellStyle name="Standaard 7 4 6" xfId="1447"/>
    <cellStyle name="Standaard 7 4 6 2" xfId="3620"/>
    <cellStyle name="Standaard 7 4 7" xfId="2569"/>
    <cellStyle name="Standaard 7 4 8" xfId="4666"/>
    <cellStyle name="Standaard 7 5" xfId="327"/>
    <cellStyle name="Standaard 7 5 2" xfId="486"/>
    <cellStyle name="Standaard 7 5 2 2" xfId="785"/>
    <cellStyle name="Standaard 7 5 2 2 2" xfId="1304"/>
    <cellStyle name="Standaard 7 5 2 2 2 2" xfId="2410"/>
    <cellStyle name="Standaard 7 5 2 2 2 2 2" xfId="4552"/>
    <cellStyle name="Standaard 7 5 2 2 2 3" xfId="3501"/>
    <cellStyle name="Standaard 7 5 2 2 2 4" xfId="5598"/>
    <cellStyle name="Standaard 7 5 2 2 3" xfId="1893"/>
    <cellStyle name="Standaard 7 5 2 2 3 2" xfId="4035"/>
    <cellStyle name="Standaard 7 5 2 2 4" xfId="2984"/>
    <cellStyle name="Standaard 7 5 2 2 5" xfId="5081"/>
    <cellStyle name="Standaard 7 5 2 3" xfId="1045"/>
    <cellStyle name="Standaard 7 5 2 3 2" xfId="2151"/>
    <cellStyle name="Standaard 7 5 2 3 2 2" xfId="4293"/>
    <cellStyle name="Standaard 7 5 2 3 3" xfId="3242"/>
    <cellStyle name="Standaard 7 5 2 3 4" xfId="5339"/>
    <cellStyle name="Standaard 7 5 2 4" xfId="1630"/>
    <cellStyle name="Standaard 7 5 2 4 2" xfId="3776"/>
    <cellStyle name="Standaard 7 5 2 5" xfId="2725"/>
    <cellStyle name="Standaard 7 5 2 6" xfId="4822"/>
    <cellStyle name="Standaard 7 5 3" xfId="659"/>
    <cellStyle name="Standaard 7 5 3 2" xfId="1178"/>
    <cellStyle name="Standaard 7 5 3 2 2" xfId="2284"/>
    <cellStyle name="Standaard 7 5 3 2 2 2" xfId="4426"/>
    <cellStyle name="Standaard 7 5 3 2 3" xfId="3375"/>
    <cellStyle name="Standaard 7 5 3 2 4" xfId="5472"/>
    <cellStyle name="Standaard 7 5 3 3" xfId="1767"/>
    <cellStyle name="Standaard 7 5 3 3 2" xfId="3909"/>
    <cellStyle name="Standaard 7 5 3 4" xfId="2858"/>
    <cellStyle name="Standaard 7 5 3 5" xfId="4955"/>
    <cellStyle name="Standaard 7 5 4" xfId="919"/>
    <cellStyle name="Standaard 7 5 4 2" xfId="2025"/>
    <cellStyle name="Standaard 7 5 4 2 2" xfId="4167"/>
    <cellStyle name="Standaard 7 5 4 3" xfId="3116"/>
    <cellStyle name="Standaard 7 5 4 4" xfId="5213"/>
    <cellStyle name="Standaard 7 5 5" xfId="1498"/>
    <cellStyle name="Standaard 7 5 5 2" xfId="3650"/>
    <cellStyle name="Standaard 7 5 6" xfId="2599"/>
    <cellStyle name="Standaard 7 5 7" xfId="4696"/>
    <cellStyle name="Standaard 70" xfId="1383"/>
    <cellStyle name="Standaard 71" xfId="1382"/>
    <cellStyle name="Standaard 72" xfId="1387"/>
    <cellStyle name="Standaard 73" xfId="860"/>
    <cellStyle name="Standaard 73 2" xfId="1397"/>
    <cellStyle name="Standaard 73 3" xfId="1968"/>
    <cellStyle name="Standaard 73 3 2" xfId="4110"/>
    <cellStyle name="Standaard 73 4" xfId="3059"/>
    <cellStyle name="Standaard 73 5" xfId="5156"/>
    <cellStyle name="Standaard 74" xfId="1388"/>
    <cellStyle name="Standaard 74 2" xfId="1391"/>
    <cellStyle name="Standaard 74 3" xfId="2485"/>
    <cellStyle name="Standaard 74 3 2" xfId="4627"/>
    <cellStyle name="Standaard 74 4" xfId="3576"/>
    <cellStyle name="Standaard 74 5" xfId="5673"/>
    <cellStyle name="Standaard 75" xfId="1393"/>
    <cellStyle name="Standaard 76" xfId="1405"/>
    <cellStyle name="Standaard 77" xfId="1407"/>
    <cellStyle name="Standaard 78" xfId="1398"/>
    <cellStyle name="Standaard 79" xfId="1392"/>
    <cellStyle name="Standaard 8" xfId="31"/>
    <cellStyle name="Standaard 8 2" xfId="51"/>
    <cellStyle name="Standaard 8 3" xfId="120"/>
    <cellStyle name="Standaard 8 3 2" xfId="364"/>
    <cellStyle name="Standaard 8 3 2 2" xfId="518"/>
    <cellStyle name="Standaard 8 3 2 2 2" xfId="817"/>
    <cellStyle name="Standaard 8 3 2 2 2 2" xfId="1336"/>
    <cellStyle name="Standaard 8 3 2 2 2 2 2" xfId="2442"/>
    <cellStyle name="Standaard 8 3 2 2 2 2 2 2" xfId="4584"/>
    <cellStyle name="Standaard 8 3 2 2 2 2 3" xfId="3533"/>
    <cellStyle name="Standaard 8 3 2 2 2 2 4" xfId="5630"/>
    <cellStyle name="Standaard 8 3 2 2 2 3" xfId="1925"/>
    <cellStyle name="Standaard 8 3 2 2 2 3 2" xfId="4067"/>
    <cellStyle name="Standaard 8 3 2 2 2 4" xfId="3016"/>
    <cellStyle name="Standaard 8 3 2 2 2 5" xfId="5113"/>
    <cellStyle name="Standaard 8 3 2 2 3" xfId="1077"/>
    <cellStyle name="Standaard 8 3 2 2 3 2" xfId="2183"/>
    <cellStyle name="Standaard 8 3 2 2 3 2 2" xfId="4325"/>
    <cellStyle name="Standaard 8 3 2 2 3 3" xfId="3274"/>
    <cellStyle name="Standaard 8 3 2 2 3 4" xfId="5371"/>
    <cellStyle name="Standaard 8 3 2 2 4" xfId="1662"/>
    <cellStyle name="Standaard 8 3 2 2 4 2" xfId="3808"/>
    <cellStyle name="Standaard 8 3 2 2 5" xfId="2757"/>
    <cellStyle name="Standaard 8 3 2 2 6" xfId="4854"/>
    <cellStyle name="Standaard 8 3 2 3" xfId="691"/>
    <cellStyle name="Standaard 8 3 2 3 2" xfId="1210"/>
    <cellStyle name="Standaard 8 3 2 3 2 2" xfId="2316"/>
    <cellStyle name="Standaard 8 3 2 3 2 2 2" xfId="4458"/>
    <cellStyle name="Standaard 8 3 2 3 2 3" xfId="3407"/>
    <cellStyle name="Standaard 8 3 2 3 2 4" xfId="5504"/>
    <cellStyle name="Standaard 8 3 2 3 3" xfId="1799"/>
    <cellStyle name="Standaard 8 3 2 3 3 2" xfId="3941"/>
    <cellStyle name="Standaard 8 3 2 3 4" xfId="2890"/>
    <cellStyle name="Standaard 8 3 2 3 5" xfId="4987"/>
    <cellStyle name="Standaard 8 3 2 4" xfId="951"/>
    <cellStyle name="Standaard 8 3 2 4 2" xfId="2057"/>
    <cellStyle name="Standaard 8 3 2 4 2 2" xfId="4199"/>
    <cellStyle name="Standaard 8 3 2 4 3" xfId="3148"/>
    <cellStyle name="Standaard 8 3 2 4 4" xfId="5245"/>
    <cellStyle name="Standaard 8 3 2 5" xfId="1532"/>
    <cellStyle name="Standaard 8 3 2 5 2" xfId="3682"/>
    <cellStyle name="Standaard 8 3 2 6" xfId="2631"/>
    <cellStyle name="Standaard 8 3 2 7" xfId="4728"/>
    <cellStyle name="Standaard 8 3 3" xfId="450"/>
    <cellStyle name="Standaard 8 3 3 2" xfId="756"/>
    <cellStyle name="Standaard 8 3 3 2 2" xfId="1275"/>
    <cellStyle name="Standaard 8 3 3 2 2 2" xfId="2381"/>
    <cellStyle name="Standaard 8 3 3 2 2 2 2" xfId="4523"/>
    <cellStyle name="Standaard 8 3 3 2 2 3" xfId="3472"/>
    <cellStyle name="Standaard 8 3 3 2 2 4" xfId="5569"/>
    <cellStyle name="Standaard 8 3 3 2 3" xfId="1864"/>
    <cellStyle name="Standaard 8 3 3 2 3 2" xfId="4006"/>
    <cellStyle name="Standaard 8 3 3 2 4" xfId="2955"/>
    <cellStyle name="Standaard 8 3 3 2 5" xfId="5052"/>
    <cellStyle name="Standaard 8 3 3 3" xfId="1016"/>
    <cellStyle name="Standaard 8 3 3 3 2" xfId="2122"/>
    <cellStyle name="Standaard 8 3 3 3 2 2" xfId="4264"/>
    <cellStyle name="Standaard 8 3 3 3 3" xfId="3213"/>
    <cellStyle name="Standaard 8 3 3 3 4" xfId="5310"/>
    <cellStyle name="Standaard 8 3 3 4" xfId="1599"/>
    <cellStyle name="Standaard 8 3 3 4 2" xfId="3747"/>
    <cellStyle name="Standaard 8 3 3 5" xfId="2696"/>
    <cellStyle name="Standaard 8 3 3 6" xfId="4793"/>
    <cellStyle name="Standaard 8 3 4" xfId="630"/>
    <cellStyle name="Standaard 8 3 4 2" xfId="1149"/>
    <cellStyle name="Standaard 8 3 4 2 2" xfId="2255"/>
    <cellStyle name="Standaard 8 3 4 2 2 2" xfId="4397"/>
    <cellStyle name="Standaard 8 3 4 2 3" xfId="3346"/>
    <cellStyle name="Standaard 8 3 4 2 4" xfId="5443"/>
    <cellStyle name="Standaard 8 3 4 3" xfId="1738"/>
    <cellStyle name="Standaard 8 3 4 3 2" xfId="3880"/>
    <cellStyle name="Standaard 8 3 4 4" xfId="2829"/>
    <cellStyle name="Standaard 8 3 4 5" xfId="4926"/>
    <cellStyle name="Standaard 8 3 5" xfId="890"/>
    <cellStyle name="Standaard 8 3 5 2" xfId="1996"/>
    <cellStyle name="Standaard 8 3 5 2 2" xfId="4138"/>
    <cellStyle name="Standaard 8 3 5 3" xfId="3087"/>
    <cellStyle name="Standaard 8 3 5 4" xfId="5184"/>
    <cellStyle name="Standaard 8 3 6" xfId="1448"/>
    <cellStyle name="Standaard 8 3 6 2" xfId="3621"/>
    <cellStyle name="Standaard 8 3 7" xfId="2570"/>
    <cellStyle name="Standaard 8 3 8" xfId="4667"/>
    <cellStyle name="Standaard 8 4" xfId="328"/>
    <cellStyle name="Standaard 8 4 2" xfId="487"/>
    <cellStyle name="Standaard 8 4 2 2" xfId="786"/>
    <cellStyle name="Standaard 8 4 2 2 2" xfId="1305"/>
    <cellStyle name="Standaard 8 4 2 2 2 2" xfId="2411"/>
    <cellStyle name="Standaard 8 4 2 2 2 2 2" xfId="4553"/>
    <cellStyle name="Standaard 8 4 2 2 2 3" xfId="3502"/>
    <cellStyle name="Standaard 8 4 2 2 2 4" xfId="5599"/>
    <cellStyle name="Standaard 8 4 2 2 3" xfId="1894"/>
    <cellStyle name="Standaard 8 4 2 2 3 2" xfId="4036"/>
    <cellStyle name="Standaard 8 4 2 2 4" xfId="2985"/>
    <cellStyle name="Standaard 8 4 2 2 5" xfId="5082"/>
    <cellStyle name="Standaard 8 4 2 3" xfId="1046"/>
    <cellStyle name="Standaard 8 4 2 3 2" xfId="2152"/>
    <cellStyle name="Standaard 8 4 2 3 2 2" xfId="4294"/>
    <cellStyle name="Standaard 8 4 2 3 3" xfId="3243"/>
    <cellStyle name="Standaard 8 4 2 3 4" xfId="5340"/>
    <cellStyle name="Standaard 8 4 2 4" xfId="1631"/>
    <cellStyle name="Standaard 8 4 2 4 2" xfId="3777"/>
    <cellStyle name="Standaard 8 4 2 5" xfId="2726"/>
    <cellStyle name="Standaard 8 4 2 6" xfId="4823"/>
    <cellStyle name="Standaard 8 4 3" xfId="660"/>
    <cellStyle name="Standaard 8 4 3 2" xfId="1179"/>
    <cellStyle name="Standaard 8 4 3 2 2" xfId="2285"/>
    <cellStyle name="Standaard 8 4 3 2 2 2" xfId="4427"/>
    <cellStyle name="Standaard 8 4 3 2 3" xfId="3376"/>
    <cellStyle name="Standaard 8 4 3 2 4" xfId="5473"/>
    <cellStyle name="Standaard 8 4 3 3" xfId="1768"/>
    <cellStyle name="Standaard 8 4 3 3 2" xfId="3910"/>
    <cellStyle name="Standaard 8 4 3 4" xfId="2859"/>
    <cellStyle name="Standaard 8 4 3 5" xfId="4956"/>
    <cellStyle name="Standaard 8 4 4" xfId="920"/>
    <cellStyle name="Standaard 8 4 4 2" xfId="2026"/>
    <cellStyle name="Standaard 8 4 4 2 2" xfId="4168"/>
    <cellStyle name="Standaard 8 4 4 3" xfId="3117"/>
    <cellStyle name="Standaard 8 4 4 4" xfId="5214"/>
    <cellStyle name="Standaard 8 4 5" xfId="1499"/>
    <cellStyle name="Standaard 8 4 5 2" xfId="3651"/>
    <cellStyle name="Standaard 8 4 6" xfId="2600"/>
    <cellStyle name="Standaard 8 4 7" xfId="4697"/>
    <cellStyle name="Standaard 80" xfId="1406"/>
    <cellStyle name="Standaard 81" xfId="63"/>
    <cellStyle name="Standaard 81 2" xfId="3604"/>
    <cellStyle name="Standaard 81 3" xfId="2553"/>
    <cellStyle name="Standaard 81 4" xfId="1431"/>
    <cellStyle name="Standaard 82" xfId="1408"/>
    <cellStyle name="Standaard 82 2" xfId="3592"/>
    <cellStyle name="Standaard 82 3" xfId="3588"/>
    <cellStyle name="Standaard 82 4" xfId="5685"/>
    <cellStyle name="Standaard 82 5" xfId="1414"/>
    <cellStyle name="Standaard 83" xfId="1409"/>
    <cellStyle name="Standaard 83 2" xfId="5686"/>
    <cellStyle name="Standaard 83 3" xfId="3589"/>
    <cellStyle name="Standaard 84" xfId="1410"/>
    <cellStyle name="Standaard 84 2" xfId="5687"/>
    <cellStyle name="Standaard 84 3" xfId="3590"/>
    <cellStyle name="Standaard 85" xfId="3591"/>
    <cellStyle name="Standaard 86" xfId="2541"/>
    <cellStyle name="Standaard 87" xfId="4639"/>
    <cellStyle name="Standaard 88" xfId="1411"/>
    <cellStyle name="Standaard 89" xfId="1412"/>
    <cellStyle name="Standaard 9" xfId="32"/>
    <cellStyle name="Standaard 9 2" xfId="52"/>
    <cellStyle name="Standaard 9 3" xfId="121"/>
    <cellStyle name="Standaard 9 3 2" xfId="365"/>
    <cellStyle name="Standaard 9 3 2 2" xfId="519"/>
    <cellStyle name="Standaard 9 3 2 2 2" xfId="818"/>
    <cellStyle name="Standaard 9 3 2 2 2 2" xfId="1337"/>
    <cellStyle name="Standaard 9 3 2 2 2 2 2" xfId="2443"/>
    <cellStyle name="Standaard 9 3 2 2 2 2 2 2" xfId="4585"/>
    <cellStyle name="Standaard 9 3 2 2 2 2 3" xfId="3534"/>
    <cellStyle name="Standaard 9 3 2 2 2 2 4" xfId="5631"/>
    <cellStyle name="Standaard 9 3 2 2 2 3" xfId="1926"/>
    <cellStyle name="Standaard 9 3 2 2 2 3 2" xfId="4068"/>
    <cellStyle name="Standaard 9 3 2 2 2 4" xfId="3017"/>
    <cellStyle name="Standaard 9 3 2 2 2 5" xfId="5114"/>
    <cellStyle name="Standaard 9 3 2 2 3" xfId="1078"/>
    <cellStyle name="Standaard 9 3 2 2 3 2" xfId="2184"/>
    <cellStyle name="Standaard 9 3 2 2 3 2 2" xfId="4326"/>
    <cellStyle name="Standaard 9 3 2 2 3 3" xfId="3275"/>
    <cellStyle name="Standaard 9 3 2 2 3 4" xfId="5372"/>
    <cellStyle name="Standaard 9 3 2 2 4" xfId="1663"/>
    <cellStyle name="Standaard 9 3 2 2 4 2" xfId="3809"/>
    <cellStyle name="Standaard 9 3 2 2 5" xfId="2758"/>
    <cellStyle name="Standaard 9 3 2 2 6" xfId="4855"/>
    <cellStyle name="Standaard 9 3 2 3" xfId="692"/>
    <cellStyle name="Standaard 9 3 2 3 2" xfId="1211"/>
    <cellStyle name="Standaard 9 3 2 3 2 2" xfId="2317"/>
    <cellStyle name="Standaard 9 3 2 3 2 2 2" xfId="4459"/>
    <cellStyle name="Standaard 9 3 2 3 2 3" xfId="3408"/>
    <cellStyle name="Standaard 9 3 2 3 2 4" xfId="5505"/>
    <cellStyle name="Standaard 9 3 2 3 3" xfId="1800"/>
    <cellStyle name="Standaard 9 3 2 3 3 2" xfId="3942"/>
    <cellStyle name="Standaard 9 3 2 3 4" xfId="2891"/>
    <cellStyle name="Standaard 9 3 2 3 5" xfId="4988"/>
    <cellStyle name="Standaard 9 3 2 4" xfId="952"/>
    <cellStyle name="Standaard 9 3 2 4 2" xfId="2058"/>
    <cellStyle name="Standaard 9 3 2 4 2 2" xfId="4200"/>
    <cellStyle name="Standaard 9 3 2 4 3" xfId="3149"/>
    <cellStyle name="Standaard 9 3 2 4 4" xfId="5246"/>
    <cellStyle name="Standaard 9 3 2 5" xfId="1533"/>
    <cellStyle name="Standaard 9 3 2 5 2" xfId="3683"/>
    <cellStyle name="Standaard 9 3 2 6" xfId="2632"/>
    <cellStyle name="Standaard 9 3 2 7" xfId="4729"/>
    <cellStyle name="Standaard 9 3 3" xfId="451"/>
    <cellStyle name="Standaard 9 3 3 2" xfId="757"/>
    <cellStyle name="Standaard 9 3 3 2 2" xfId="1276"/>
    <cellStyle name="Standaard 9 3 3 2 2 2" xfId="2382"/>
    <cellStyle name="Standaard 9 3 3 2 2 2 2" xfId="4524"/>
    <cellStyle name="Standaard 9 3 3 2 2 3" xfId="3473"/>
    <cellStyle name="Standaard 9 3 3 2 2 4" xfId="5570"/>
    <cellStyle name="Standaard 9 3 3 2 3" xfId="1865"/>
    <cellStyle name="Standaard 9 3 3 2 3 2" xfId="4007"/>
    <cellStyle name="Standaard 9 3 3 2 4" xfId="2956"/>
    <cellStyle name="Standaard 9 3 3 2 5" xfId="5053"/>
    <cellStyle name="Standaard 9 3 3 3" xfId="1017"/>
    <cellStyle name="Standaard 9 3 3 3 2" xfId="2123"/>
    <cellStyle name="Standaard 9 3 3 3 2 2" xfId="4265"/>
    <cellStyle name="Standaard 9 3 3 3 3" xfId="3214"/>
    <cellStyle name="Standaard 9 3 3 3 4" xfId="5311"/>
    <cellStyle name="Standaard 9 3 3 4" xfId="1600"/>
    <cellStyle name="Standaard 9 3 3 4 2" xfId="3748"/>
    <cellStyle name="Standaard 9 3 3 5" xfId="2697"/>
    <cellStyle name="Standaard 9 3 3 6" xfId="4794"/>
    <cellStyle name="Standaard 9 3 4" xfId="631"/>
    <cellStyle name="Standaard 9 3 4 2" xfId="1150"/>
    <cellStyle name="Standaard 9 3 4 2 2" xfId="2256"/>
    <cellStyle name="Standaard 9 3 4 2 2 2" xfId="4398"/>
    <cellStyle name="Standaard 9 3 4 2 3" xfId="3347"/>
    <cellStyle name="Standaard 9 3 4 2 4" xfId="5444"/>
    <cellStyle name="Standaard 9 3 4 3" xfId="1739"/>
    <cellStyle name="Standaard 9 3 4 3 2" xfId="3881"/>
    <cellStyle name="Standaard 9 3 4 4" xfId="2830"/>
    <cellStyle name="Standaard 9 3 4 5" xfId="4927"/>
    <cellStyle name="Standaard 9 3 5" xfId="891"/>
    <cellStyle name="Standaard 9 3 5 2" xfId="1997"/>
    <cellStyle name="Standaard 9 3 5 2 2" xfId="4139"/>
    <cellStyle name="Standaard 9 3 5 3" xfId="3088"/>
    <cellStyle name="Standaard 9 3 5 4" xfId="5185"/>
    <cellStyle name="Standaard 9 3 6" xfId="1449"/>
    <cellStyle name="Standaard 9 3 6 2" xfId="3622"/>
    <cellStyle name="Standaard 9 3 7" xfId="2571"/>
    <cellStyle name="Standaard 9 3 8" xfId="4668"/>
    <cellStyle name="Standaard 9 4" xfId="329"/>
    <cellStyle name="Standaard 9 4 2" xfId="488"/>
    <cellStyle name="Standaard 9 4 2 2" xfId="787"/>
    <cellStyle name="Standaard 9 4 2 2 2" xfId="1306"/>
    <cellStyle name="Standaard 9 4 2 2 2 2" xfId="2412"/>
    <cellStyle name="Standaard 9 4 2 2 2 2 2" xfId="4554"/>
    <cellStyle name="Standaard 9 4 2 2 2 3" xfId="3503"/>
    <cellStyle name="Standaard 9 4 2 2 2 4" xfId="5600"/>
    <cellStyle name="Standaard 9 4 2 2 3" xfId="1895"/>
    <cellStyle name="Standaard 9 4 2 2 3 2" xfId="4037"/>
    <cellStyle name="Standaard 9 4 2 2 4" xfId="2986"/>
    <cellStyle name="Standaard 9 4 2 2 5" xfId="5083"/>
    <cellStyle name="Standaard 9 4 2 3" xfId="1047"/>
    <cellStyle name="Standaard 9 4 2 3 2" xfId="2153"/>
    <cellStyle name="Standaard 9 4 2 3 2 2" xfId="4295"/>
    <cellStyle name="Standaard 9 4 2 3 3" xfId="3244"/>
    <cellStyle name="Standaard 9 4 2 3 4" xfId="5341"/>
    <cellStyle name="Standaard 9 4 2 4" xfId="1632"/>
    <cellStyle name="Standaard 9 4 2 4 2" xfId="3778"/>
    <cellStyle name="Standaard 9 4 2 5" xfId="2727"/>
    <cellStyle name="Standaard 9 4 2 6" xfId="4824"/>
    <cellStyle name="Standaard 9 4 3" xfId="661"/>
    <cellStyle name="Standaard 9 4 3 2" xfId="1180"/>
    <cellStyle name="Standaard 9 4 3 2 2" xfId="2286"/>
    <cellStyle name="Standaard 9 4 3 2 2 2" xfId="4428"/>
    <cellStyle name="Standaard 9 4 3 2 3" xfId="3377"/>
    <cellStyle name="Standaard 9 4 3 2 4" xfId="5474"/>
    <cellStyle name="Standaard 9 4 3 3" xfId="1769"/>
    <cellStyle name="Standaard 9 4 3 3 2" xfId="3911"/>
    <cellStyle name="Standaard 9 4 3 4" xfId="2860"/>
    <cellStyle name="Standaard 9 4 3 5" xfId="4957"/>
    <cellStyle name="Standaard 9 4 4" xfId="921"/>
    <cellStyle name="Standaard 9 4 4 2" xfId="2027"/>
    <cellStyle name="Standaard 9 4 4 2 2" xfId="4169"/>
    <cellStyle name="Standaard 9 4 4 3" xfId="3118"/>
    <cellStyle name="Standaard 9 4 4 4" xfId="5215"/>
    <cellStyle name="Standaard 9 4 5" xfId="1500"/>
    <cellStyle name="Standaard 9 4 5 2" xfId="3652"/>
    <cellStyle name="Standaard 9 4 6" xfId="2601"/>
    <cellStyle name="Standaard 9 4 7" xfId="4698"/>
    <cellStyle name="Standaard 90" xfId="1413"/>
    <cellStyle name="Standaard 91" xfId="5688"/>
    <cellStyle name="Standaard 92" xfId="5689"/>
    <cellStyle name="Standard_QC" xfId="122"/>
    <cellStyle name="Titel 2" xfId="213"/>
    <cellStyle name="Titel 2 2" xfId="214"/>
    <cellStyle name="Titel 3" xfId="215"/>
    <cellStyle name="Titel 3 2" xfId="281"/>
    <cellStyle name="Titel 4" xfId="216"/>
    <cellStyle name="Title" xfId="123"/>
    <cellStyle name="Title 2" xfId="217"/>
    <cellStyle name="Totaal 2" xfId="218"/>
    <cellStyle name="Totaal 2 2" xfId="219"/>
    <cellStyle name="Totaal 2 2 2" xfId="572"/>
    <cellStyle name="Totaal 2 2 2 2" xfId="2530"/>
    <cellStyle name="Totaal 2 2 3" xfId="1460"/>
    <cellStyle name="Totaal 2 3" xfId="571"/>
    <cellStyle name="Totaal 2 3 2" xfId="2529"/>
    <cellStyle name="Totaal 2 4" xfId="1470"/>
    <cellStyle name="Totaal 3" xfId="220"/>
    <cellStyle name="Totaal 3 2" xfId="282"/>
    <cellStyle name="Totaal 3 2 2" xfId="574"/>
    <cellStyle name="Totaal 3 2 2 2" xfId="2532"/>
    <cellStyle name="Totaal 3 2 3" xfId="1690"/>
    <cellStyle name="Totaal 3 3" xfId="573"/>
    <cellStyle name="Totaal 3 3 2" xfId="2531"/>
    <cellStyle name="Totaal 3 4" xfId="1459"/>
    <cellStyle name="Totaal 4" xfId="221"/>
    <cellStyle name="Totaal 4 2" xfId="575"/>
    <cellStyle name="Totaal 4 2 2" xfId="2533"/>
    <cellStyle name="Totaal 4 3" xfId="1458"/>
    <cellStyle name="Total" xfId="124"/>
    <cellStyle name="Total 2" xfId="222"/>
    <cellStyle name="Total 2 2" xfId="577"/>
    <cellStyle name="Total 2 2 2" xfId="2535"/>
    <cellStyle name="Total 2 3" xfId="1457"/>
    <cellStyle name="Total 3" xfId="576"/>
    <cellStyle name="Total 3 2" xfId="2534"/>
    <cellStyle name="Total 4" xfId="1535"/>
    <cellStyle name="Uitvoer 2" xfId="223"/>
    <cellStyle name="Uitvoer 2 2" xfId="224"/>
    <cellStyle name="Uitvoer 2 2 2" xfId="579"/>
    <cellStyle name="Uitvoer 2 2 2 2" xfId="2537"/>
    <cellStyle name="Uitvoer 2 2 3" xfId="1456"/>
    <cellStyle name="Uitvoer 2 3" xfId="578"/>
    <cellStyle name="Uitvoer 2 3 2" xfId="2536"/>
    <cellStyle name="Uitvoer 2 4" xfId="1469"/>
    <cellStyle name="Uitvoer 3" xfId="225"/>
    <cellStyle name="Uitvoer 3 2" xfId="283"/>
    <cellStyle name="Uitvoer 3 2 2" xfId="581"/>
    <cellStyle name="Uitvoer 3 2 2 2" xfId="2539"/>
    <cellStyle name="Uitvoer 3 2 3" xfId="1450"/>
    <cellStyle name="Uitvoer 3 3" xfId="580"/>
    <cellStyle name="Uitvoer 3 3 2" xfId="2538"/>
    <cellStyle name="Uitvoer 3 4" xfId="1455"/>
    <cellStyle name="Uitvoer 4" xfId="226"/>
    <cellStyle name="Uitvoer 4 2" xfId="582"/>
    <cellStyle name="Uitvoer 4 2 2" xfId="2540"/>
    <cellStyle name="Uitvoer 4 3" xfId="1454"/>
    <cellStyle name="Verklarende tekst 2" xfId="227"/>
    <cellStyle name="Verklarende tekst 2 2" xfId="228"/>
    <cellStyle name="Verklarende tekst 3" xfId="229"/>
    <cellStyle name="Verklarende tekst 3 2" xfId="284"/>
    <cellStyle name="Verklarende tekst 4" xfId="230"/>
    <cellStyle name="Waarschuwingstekst 2" xfId="231"/>
    <cellStyle name="Waarschuwingstekst 2 2" xfId="232"/>
    <cellStyle name="Waarschuwingstekst 3" xfId="233"/>
    <cellStyle name="Waarschuwingstekst 3 2" xfId="285"/>
    <cellStyle name="Waarschuwingstekst 4" xfId="234"/>
    <cellStyle name="Warning Text" xfId="125"/>
    <cellStyle name="Warning Text 2" xfId="235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1000125</xdr:colOff>
      <xdr:row>0</xdr:row>
      <xdr:rowOff>57150</xdr:rowOff>
    </xdr:from>
    <xdr:to>
      <xdr:col>8</xdr:col>
      <xdr:colOff>361950</xdr:colOff>
      <xdr:row>3</xdr:row>
      <xdr:rowOff>76200</xdr:rowOff>
    </xdr:to>
    <xdr:sp macro="[0]!ophaalgeg" textlink="">
      <xdr:nvSpPr>
        <xdr:cNvPr id="2" name="Rechthoek 1"/>
        <xdr:cNvSpPr/>
      </xdr:nvSpPr>
      <xdr:spPr>
        <a:xfrm>
          <a:off x="3676650" y="57150"/>
          <a:ext cx="5019675" cy="581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l-NL" sz="1400"/>
            <a:t>Druk op deze</a:t>
          </a:r>
          <a:r>
            <a:rPr lang="nl-NL" sz="1400" baseline="0"/>
            <a:t> knop voor het o</a:t>
          </a:r>
          <a:r>
            <a:rPr lang="nl-NL" sz="1400"/>
            <a:t>phalen</a:t>
          </a:r>
          <a:r>
            <a:rPr lang="nl-NL" sz="1400" baseline="0"/>
            <a:t>  DNA gegevens en  FLUO/Qubit metingen, nadat de Dnummer ingeschreven zijn.</a:t>
          </a:r>
          <a:endParaRPr lang="nl-NL" sz="14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ivg/KlinischeGenetica/DNA/Aandoeningen/NGS/Analyse%20MiSEQ%20DL/MiSeq%20serie%20DL-050/MiSeq%20labwerk/MiSeq%20Exp%20DL-050%20(0-lijst%20tot%20MiSeqrun)_2016072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-Serie uit 0-lijst"/>
      <sheetName val="2-DNA voor shearen"/>
      <sheetName val="4-Overpipetteren naar snapcap"/>
      <sheetName val="5-Library met Index"/>
      <sheetName val="6-Indeling van de capture"/>
      <sheetName val="7-Berekening mengverh. captures"/>
      <sheetName val="8-MiSeq"/>
    </sheetNames>
    <sheetDataSet>
      <sheetData sheetId="0"/>
      <sheetData sheetId="1"/>
      <sheetData sheetId="2"/>
      <sheetData sheetId="3"/>
      <sheetData sheetId="4"/>
      <sheetData sheetId="5">
        <row r="16">
          <cell r="B16" t="str">
            <v>DLv2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Z108"/>
  <sheetViews>
    <sheetView workbookViewId="0">
      <selection activeCell="D23" sqref="D23"/>
    </sheetView>
  </sheetViews>
  <sheetFormatPr defaultRowHeight="14.25" x14ac:dyDescent="0.2"/>
  <cols>
    <col min="1" max="1" width="10.7109375" style="195" customWidth="1"/>
    <col min="2" max="2" width="12.7109375" style="18" bestFit="1" customWidth="1"/>
    <col min="3" max="3" width="16.7109375" style="18" customWidth="1"/>
    <col min="4" max="4" width="17.85546875" style="195" customWidth="1"/>
    <col min="5" max="5" width="20.28515625" style="195" customWidth="1"/>
    <col min="6" max="6" width="20.28515625" style="18" customWidth="1"/>
    <col min="7" max="7" width="14" style="18" customWidth="1"/>
    <col min="8" max="8" width="12.42578125" style="18" customWidth="1"/>
    <col min="9" max="9" width="17.140625" style="193" customWidth="1"/>
    <col min="10" max="10" width="15.85546875" style="18" customWidth="1"/>
    <col min="11" max="11" width="20.7109375" style="18" customWidth="1"/>
    <col min="12" max="12" width="15.85546875" style="18" customWidth="1"/>
    <col min="13" max="13" width="27.28515625" style="18" customWidth="1"/>
    <col min="14" max="14" width="13.5703125" style="18" customWidth="1"/>
    <col min="15" max="15" width="14.28515625" style="18" customWidth="1"/>
    <col min="16" max="16" width="16.28515625" style="18" customWidth="1"/>
    <col min="17" max="17" width="15.140625" style="18" customWidth="1"/>
    <col min="18" max="18" width="13" style="18" customWidth="1"/>
    <col min="19" max="16384" width="9.140625" style="18"/>
  </cols>
  <sheetData>
    <row r="1" spans="1:26" s="17" customFormat="1" ht="15" x14ac:dyDescent="0.25">
      <c r="A1" s="108" t="s">
        <v>262</v>
      </c>
      <c r="C1" s="17" t="s">
        <v>191</v>
      </c>
      <c r="D1" s="108"/>
      <c r="E1" s="108"/>
      <c r="G1" s="108"/>
      <c r="I1" s="192"/>
      <c r="J1" s="17" t="s">
        <v>0</v>
      </c>
      <c r="L1" s="17" t="s">
        <v>206</v>
      </c>
      <c r="P1" s="17" t="s">
        <v>50</v>
      </c>
    </row>
    <row r="3" spans="1:26" s="17" customFormat="1" ht="15" x14ac:dyDescent="0.25">
      <c r="A3" s="108"/>
      <c r="B3" s="17" t="s">
        <v>1</v>
      </c>
      <c r="C3" s="17" t="s">
        <v>2</v>
      </c>
      <c r="D3" s="108"/>
      <c r="E3" s="108"/>
      <c r="I3" s="192"/>
      <c r="J3" s="17" t="s">
        <v>3</v>
      </c>
      <c r="L3" s="46" t="s">
        <v>68</v>
      </c>
    </row>
    <row r="4" spans="1:26" ht="15" x14ac:dyDescent="0.25">
      <c r="L4" s="46" t="s">
        <v>46</v>
      </c>
    </row>
    <row r="5" spans="1:26" ht="15.75" thickBot="1" x14ac:dyDescent="0.3">
      <c r="A5" s="2" t="s">
        <v>45</v>
      </c>
      <c r="L5" s="46" t="s">
        <v>52</v>
      </c>
    </row>
    <row r="6" spans="1:26" ht="48.75" thickTop="1" thickBot="1" x14ac:dyDescent="0.3">
      <c r="A6" s="39" t="s">
        <v>37</v>
      </c>
      <c r="B6" s="44" t="s">
        <v>38</v>
      </c>
      <c r="C6" s="45" t="s">
        <v>211</v>
      </c>
      <c r="D6" s="196" t="s">
        <v>219</v>
      </c>
      <c r="E6" s="196" t="s">
        <v>220</v>
      </c>
      <c r="F6" s="45" t="s">
        <v>216</v>
      </c>
      <c r="G6" s="36" t="s">
        <v>9</v>
      </c>
      <c r="H6" s="40" t="s">
        <v>212</v>
      </c>
      <c r="I6" s="194" t="s">
        <v>214</v>
      </c>
      <c r="J6" s="152" t="s">
        <v>215</v>
      </c>
      <c r="K6" s="153" t="s">
        <v>221</v>
      </c>
      <c r="L6" s="152" t="s">
        <v>213</v>
      </c>
      <c r="M6" s="47" t="s">
        <v>39</v>
      </c>
      <c r="N6" s="41" t="s">
        <v>40</v>
      </c>
      <c r="O6" s="151" t="s">
        <v>41</v>
      </c>
      <c r="P6" s="36" t="s">
        <v>42</v>
      </c>
      <c r="Q6" s="36"/>
      <c r="R6" s="37"/>
      <c r="S6" s="38"/>
      <c r="T6" s="35"/>
      <c r="U6" s="35"/>
      <c r="V6" s="35"/>
      <c r="W6" s="35"/>
      <c r="X6" s="35"/>
      <c r="Y6" s="35"/>
    </row>
    <row r="7" spans="1:26" s="186" customFormat="1" ht="15.75" thickTop="1" x14ac:dyDescent="0.25">
      <c r="A7" s="260">
        <v>42969</v>
      </c>
      <c r="B7" s="261" t="s">
        <v>263</v>
      </c>
      <c r="C7" s="262"/>
      <c r="D7" s="262"/>
      <c r="E7" s="263">
        <v>42948</v>
      </c>
      <c r="F7" s="263">
        <v>42990</v>
      </c>
      <c r="G7" s="269">
        <v>0</v>
      </c>
      <c r="H7" s="265"/>
      <c r="I7" s="262"/>
      <c r="J7" s="265"/>
      <c r="K7" s="262"/>
      <c r="L7" s="266"/>
      <c r="M7" s="267">
        <v>688</v>
      </c>
      <c r="N7" s="267">
        <v>292</v>
      </c>
      <c r="O7" s="268">
        <v>204</v>
      </c>
      <c r="P7" s="262"/>
      <c r="Q7" s="185"/>
      <c r="R7" s="183"/>
      <c r="S7" s="184"/>
      <c r="T7" s="184"/>
      <c r="U7" s="184"/>
      <c r="V7" s="184"/>
      <c r="W7" s="183"/>
      <c r="X7" s="183"/>
      <c r="Y7" s="183"/>
      <c r="Z7" s="184"/>
    </row>
    <row r="8" spans="1:26" s="186" customFormat="1" ht="15" x14ac:dyDescent="0.25">
      <c r="A8" s="260">
        <v>42969</v>
      </c>
      <c r="B8" s="261" t="s">
        <v>223</v>
      </c>
      <c r="C8" s="262"/>
      <c r="D8" s="262"/>
      <c r="E8" s="263">
        <v>42949</v>
      </c>
      <c r="F8" s="263">
        <v>42991</v>
      </c>
      <c r="G8" s="264" t="s">
        <v>264</v>
      </c>
      <c r="H8" s="265" t="s">
        <v>265</v>
      </c>
      <c r="I8" s="262">
        <v>40</v>
      </c>
      <c r="J8" s="265">
        <v>9</v>
      </c>
      <c r="K8" s="262"/>
      <c r="L8" s="266"/>
      <c r="M8" s="267">
        <v>688</v>
      </c>
      <c r="N8" s="267">
        <v>867</v>
      </c>
      <c r="O8" s="268">
        <v>598</v>
      </c>
      <c r="P8" s="262"/>
      <c r="Q8" s="185"/>
      <c r="R8" s="183"/>
      <c r="S8" s="184"/>
      <c r="T8" s="184"/>
      <c r="U8" s="184"/>
      <c r="V8" s="184"/>
      <c r="W8" s="183"/>
      <c r="X8" s="183"/>
      <c r="Y8" s="183"/>
      <c r="Z8" s="184"/>
    </row>
    <row r="9" spans="1:26" s="186" customFormat="1" ht="15" x14ac:dyDescent="0.25">
      <c r="A9" s="260">
        <v>42969</v>
      </c>
      <c r="B9" s="261" t="s">
        <v>224</v>
      </c>
      <c r="C9" s="262"/>
      <c r="D9" s="262"/>
      <c r="E9" s="263">
        <v>42949</v>
      </c>
      <c r="F9" s="263">
        <v>42991</v>
      </c>
      <c r="G9" s="264" t="s">
        <v>266</v>
      </c>
      <c r="H9" s="265" t="s">
        <v>267</v>
      </c>
      <c r="I9" s="262">
        <v>44</v>
      </c>
      <c r="J9" s="265">
        <v>9</v>
      </c>
      <c r="K9" s="262"/>
      <c r="L9" s="266"/>
      <c r="M9" s="267">
        <v>534</v>
      </c>
      <c r="N9" s="267">
        <v>296</v>
      </c>
      <c r="O9" s="268">
        <v>160</v>
      </c>
      <c r="P9" s="262"/>
      <c r="Q9" s="185"/>
      <c r="R9" s="183"/>
      <c r="S9" s="184"/>
      <c r="T9" s="184"/>
      <c r="U9" s="184"/>
      <c r="V9" s="184"/>
      <c r="W9" s="183"/>
      <c r="X9" s="183"/>
      <c r="Y9" s="183"/>
      <c r="Z9" s="184"/>
    </row>
    <row r="10" spans="1:26" s="186" customFormat="1" ht="15" x14ac:dyDescent="0.25">
      <c r="A10" s="260">
        <v>42969</v>
      </c>
      <c r="B10" s="261" t="s">
        <v>225</v>
      </c>
      <c r="C10" s="262"/>
      <c r="D10" s="262"/>
      <c r="E10" s="263">
        <v>42949</v>
      </c>
      <c r="F10" s="263">
        <v>42991</v>
      </c>
      <c r="G10" s="264" t="s">
        <v>264</v>
      </c>
      <c r="H10" s="265" t="s">
        <v>268</v>
      </c>
      <c r="I10" s="262">
        <v>41</v>
      </c>
      <c r="J10" s="265">
        <v>9</v>
      </c>
      <c r="K10" s="262"/>
      <c r="L10" s="266"/>
      <c r="M10" s="267">
        <v>635</v>
      </c>
      <c r="N10" s="267">
        <v>485</v>
      </c>
      <c r="O10" s="268">
        <v>309</v>
      </c>
      <c r="P10" s="262"/>
      <c r="Q10" s="185"/>
      <c r="R10" s="183"/>
      <c r="S10" s="184"/>
      <c r="T10" s="184"/>
      <c r="U10" s="184"/>
      <c r="V10" s="184"/>
      <c r="W10" s="183"/>
      <c r="X10" s="183"/>
      <c r="Y10" s="183"/>
      <c r="Z10" s="184"/>
    </row>
    <row r="11" spans="1:26" s="186" customFormat="1" ht="15" x14ac:dyDescent="0.25">
      <c r="A11" s="260">
        <v>42969</v>
      </c>
      <c r="B11" s="261" t="s">
        <v>226</v>
      </c>
      <c r="C11" s="262"/>
      <c r="D11" s="262"/>
      <c r="E11" s="263">
        <v>42949</v>
      </c>
      <c r="F11" s="263">
        <v>42991</v>
      </c>
      <c r="G11" s="264" t="s">
        <v>266</v>
      </c>
      <c r="H11" s="265" t="s">
        <v>269</v>
      </c>
      <c r="I11" s="262">
        <v>48</v>
      </c>
      <c r="J11" s="265">
        <v>9</v>
      </c>
      <c r="K11" s="262"/>
      <c r="L11" s="266"/>
      <c r="M11" s="267">
        <v>447</v>
      </c>
      <c r="N11" s="267">
        <v>296</v>
      </c>
      <c r="O11" s="268">
        <v>134</v>
      </c>
      <c r="P11" s="262"/>
      <c r="Q11" s="185"/>
      <c r="R11" s="183"/>
      <c r="S11" s="184"/>
      <c r="T11" s="184"/>
      <c r="U11" s="184"/>
      <c r="V11" s="184"/>
      <c r="W11" s="183"/>
      <c r="X11" s="183"/>
      <c r="Y11" s="183"/>
      <c r="Z11" s="184"/>
    </row>
    <row r="12" spans="1:26" s="186" customFormat="1" ht="15" x14ac:dyDescent="0.25">
      <c r="A12" s="260">
        <v>42969</v>
      </c>
      <c r="B12" s="261" t="s">
        <v>227</v>
      </c>
      <c r="C12" s="262"/>
      <c r="D12" s="262"/>
      <c r="E12" s="263">
        <v>42949</v>
      </c>
      <c r="F12" s="263">
        <v>42991</v>
      </c>
      <c r="G12" s="264" t="s">
        <v>266</v>
      </c>
      <c r="H12" s="265" t="s">
        <v>270</v>
      </c>
      <c r="I12" s="262">
        <v>42</v>
      </c>
      <c r="J12" s="265">
        <v>9</v>
      </c>
      <c r="K12" s="262"/>
      <c r="L12" s="266"/>
      <c r="M12" s="267">
        <v>616</v>
      </c>
      <c r="N12" s="267">
        <v>296</v>
      </c>
      <c r="O12" s="268">
        <v>185</v>
      </c>
      <c r="P12" s="262"/>
      <c r="Q12" s="185"/>
      <c r="R12" s="183"/>
      <c r="S12" s="184"/>
      <c r="T12" s="184"/>
      <c r="U12" s="184"/>
      <c r="V12" s="184"/>
      <c r="W12" s="183"/>
      <c r="X12" s="183"/>
      <c r="Y12" s="183"/>
      <c r="Z12" s="184"/>
    </row>
    <row r="13" spans="1:26" s="186" customFormat="1" ht="15" x14ac:dyDescent="0.25">
      <c r="A13" s="260">
        <v>42969</v>
      </c>
      <c r="B13" s="261" t="s">
        <v>228</v>
      </c>
      <c r="C13" s="262"/>
      <c r="D13" s="262"/>
      <c r="E13" s="263">
        <v>42950</v>
      </c>
      <c r="F13" s="263">
        <v>42992</v>
      </c>
      <c r="G13" s="264" t="s">
        <v>266</v>
      </c>
      <c r="H13" s="265" t="s">
        <v>271</v>
      </c>
      <c r="I13" s="262">
        <v>49</v>
      </c>
      <c r="J13" s="265">
        <v>9</v>
      </c>
      <c r="K13" s="262"/>
      <c r="L13" s="266"/>
      <c r="M13" s="267">
        <v>419</v>
      </c>
      <c r="N13" s="267">
        <v>296</v>
      </c>
      <c r="O13" s="268">
        <v>126</v>
      </c>
      <c r="P13" s="262"/>
      <c r="Q13" s="185"/>
      <c r="R13" s="183"/>
      <c r="S13" s="184"/>
      <c r="T13" s="184"/>
      <c r="U13" s="184"/>
      <c r="V13" s="184"/>
      <c r="W13" s="183"/>
      <c r="X13" s="183"/>
      <c r="Y13" s="183"/>
      <c r="Z13" s="184"/>
    </row>
    <row r="14" spans="1:26" s="186" customFormat="1" ht="15" x14ac:dyDescent="0.25">
      <c r="A14" s="260">
        <v>42969</v>
      </c>
      <c r="B14" s="261" t="s">
        <v>229</v>
      </c>
      <c r="C14" s="262"/>
      <c r="D14" s="262"/>
      <c r="E14" s="263">
        <v>42950</v>
      </c>
      <c r="F14" s="263">
        <v>42992</v>
      </c>
      <c r="G14" s="264" t="s">
        <v>266</v>
      </c>
      <c r="H14" s="265" t="s">
        <v>272</v>
      </c>
      <c r="I14" s="262">
        <v>49</v>
      </c>
      <c r="J14" s="265">
        <v>9</v>
      </c>
      <c r="K14" s="262"/>
      <c r="L14" s="266"/>
      <c r="M14" s="267">
        <v>429</v>
      </c>
      <c r="N14" s="267">
        <v>296</v>
      </c>
      <c r="O14" s="268">
        <v>129</v>
      </c>
      <c r="P14" s="262"/>
      <c r="Q14" s="185"/>
      <c r="R14" s="183"/>
      <c r="S14" s="184"/>
      <c r="T14" s="184"/>
      <c r="U14" s="184"/>
      <c r="V14" s="184"/>
      <c r="W14" s="183"/>
      <c r="X14" s="183"/>
      <c r="Y14" s="183"/>
      <c r="Z14" s="184"/>
    </row>
    <row r="15" spans="1:26" s="70" customFormat="1" ht="15" x14ac:dyDescent="0.2">
      <c r="A15" s="260">
        <v>42969</v>
      </c>
      <c r="B15" s="261" t="s">
        <v>230</v>
      </c>
      <c r="C15" s="262"/>
      <c r="D15" s="262"/>
      <c r="E15" s="263">
        <v>42950</v>
      </c>
      <c r="F15" s="263">
        <v>42992</v>
      </c>
      <c r="G15" s="264" t="s">
        <v>266</v>
      </c>
      <c r="H15" s="265" t="s">
        <v>273</v>
      </c>
      <c r="I15" s="262">
        <v>42</v>
      </c>
      <c r="J15" s="265">
        <v>9</v>
      </c>
      <c r="K15" s="262"/>
      <c r="L15" s="266"/>
      <c r="M15" s="267">
        <v>620</v>
      </c>
      <c r="N15" s="267">
        <v>298</v>
      </c>
      <c r="O15" s="268">
        <v>186</v>
      </c>
      <c r="P15" s="262"/>
      <c r="Q15" s="125"/>
      <c r="R15" s="119"/>
      <c r="S15" s="118"/>
      <c r="T15" s="68"/>
      <c r="U15" s="68"/>
      <c r="V15" s="68"/>
      <c r="W15" s="69"/>
      <c r="X15" s="69"/>
      <c r="Y15" s="69"/>
      <c r="Z15" s="68"/>
    </row>
    <row r="16" spans="1:26" s="70" customFormat="1" ht="15" x14ac:dyDescent="0.2">
      <c r="A16" s="260">
        <v>42969</v>
      </c>
      <c r="B16" s="261" t="s">
        <v>231</v>
      </c>
      <c r="C16" s="262"/>
      <c r="D16" s="262"/>
      <c r="E16" s="263">
        <v>42950</v>
      </c>
      <c r="F16" s="263">
        <v>42992</v>
      </c>
      <c r="G16" s="264" t="s">
        <v>264</v>
      </c>
      <c r="H16" s="265" t="s">
        <v>274</v>
      </c>
      <c r="I16" s="262">
        <v>53</v>
      </c>
      <c r="J16" s="265">
        <v>9</v>
      </c>
      <c r="K16" s="262"/>
      <c r="L16" s="266"/>
      <c r="M16" s="267">
        <v>362</v>
      </c>
      <c r="N16" s="267">
        <v>296</v>
      </c>
      <c r="O16" s="268">
        <v>109</v>
      </c>
      <c r="P16" s="262"/>
      <c r="Q16" s="125"/>
      <c r="R16" s="119"/>
      <c r="S16" s="118"/>
      <c r="T16" s="68"/>
      <c r="U16" s="68"/>
      <c r="V16" s="68"/>
      <c r="W16" s="69"/>
      <c r="X16" s="69"/>
      <c r="Y16" s="69"/>
      <c r="Z16" s="68"/>
    </row>
    <row r="17" spans="1:26" s="70" customFormat="1" ht="15" x14ac:dyDescent="0.2">
      <c r="A17" s="260">
        <v>42969</v>
      </c>
      <c r="B17" s="261" t="s">
        <v>232</v>
      </c>
      <c r="C17" s="262"/>
      <c r="D17" s="262"/>
      <c r="E17" s="263">
        <v>42950</v>
      </c>
      <c r="F17" s="263">
        <v>42992</v>
      </c>
      <c r="G17" s="264" t="s">
        <v>264</v>
      </c>
      <c r="H17" s="265" t="s">
        <v>275</v>
      </c>
      <c r="I17" s="262">
        <v>40</v>
      </c>
      <c r="J17" s="265">
        <v>9</v>
      </c>
      <c r="K17" s="262"/>
      <c r="L17" s="266"/>
      <c r="M17" s="267">
        <v>693</v>
      </c>
      <c r="N17" s="267">
        <v>336</v>
      </c>
      <c r="O17" s="268">
        <v>234</v>
      </c>
      <c r="P17" s="262"/>
      <c r="Q17" s="125"/>
      <c r="R17" s="119"/>
      <c r="S17" s="118"/>
      <c r="T17" s="68"/>
      <c r="U17" s="68"/>
      <c r="V17" s="68"/>
      <c r="W17" s="69"/>
      <c r="X17" s="69"/>
      <c r="Y17" s="69"/>
      <c r="Z17" s="68"/>
    </row>
    <row r="18" spans="1:26" s="70" customFormat="1" ht="14.25" customHeight="1" x14ac:dyDescent="0.2">
      <c r="A18" s="260">
        <v>42969</v>
      </c>
      <c r="B18" s="261" t="s">
        <v>233</v>
      </c>
      <c r="C18" s="262"/>
      <c r="D18" s="262"/>
      <c r="E18" s="263">
        <v>42951</v>
      </c>
      <c r="F18" s="263">
        <v>42993</v>
      </c>
      <c r="G18" s="264" t="s">
        <v>264</v>
      </c>
      <c r="H18" s="265" t="s">
        <v>276</v>
      </c>
      <c r="I18" s="262">
        <v>41</v>
      </c>
      <c r="J18" s="265">
        <v>9</v>
      </c>
      <c r="K18" s="262"/>
      <c r="L18" s="266"/>
      <c r="M18" s="267">
        <v>630</v>
      </c>
      <c r="N18" s="267">
        <v>296</v>
      </c>
      <c r="O18" s="268">
        <v>189</v>
      </c>
      <c r="P18" s="262"/>
      <c r="Q18" s="125"/>
      <c r="R18" s="119"/>
      <c r="S18" s="118"/>
      <c r="T18" s="68"/>
      <c r="U18" s="68"/>
      <c r="V18" s="68"/>
      <c r="W18" s="69"/>
      <c r="X18" s="69"/>
      <c r="Y18" s="69"/>
      <c r="Z18" s="68"/>
    </row>
    <row r="19" spans="1:26" s="70" customFormat="1" ht="15" x14ac:dyDescent="0.2">
      <c r="A19" s="260">
        <v>42969</v>
      </c>
      <c r="B19" s="261" t="s">
        <v>234</v>
      </c>
      <c r="C19" s="262"/>
      <c r="D19" s="262"/>
      <c r="E19" s="263">
        <v>42951</v>
      </c>
      <c r="F19" s="263">
        <v>42993</v>
      </c>
      <c r="G19" s="264" t="s">
        <v>264</v>
      </c>
      <c r="H19" s="265" t="s">
        <v>277</v>
      </c>
      <c r="I19" s="262">
        <v>40</v>
      </c>
      <c r="J19" s="265">
        <v>9</v>
      </c>
      <c r="K19" s="262"/>
      <c r="L19" s="266"/>
      <c r="M19" s="267">
        <v>700</v>
      </c>
      <c r="N19" s="267">
        <v>296</v>
      </c>
      <c r="O19" s="268">
        <v>210</v>
      </c>
      <c r="P19" s="262"/>
      <c r="Q19" s="125"/>
      <c r="R19" s="119"/>
      <c r="S19" s="118"/>
      <c r="T19" s="68"/>
      <c r="U19" s="68"/>
      <c r="V19" s="68"/>
      <c r="W19" s="69"/>
      <c r="X19" s="69"/>
      <c r="Y19" s="69"/>
      <c r="Z19" s="68"/>
    </row>
    <row r="20" spans="1:26" s="70" customFormat="1" ht="15" x14ac:dyDescent="0.2">
      <c r="A20" s="260">
        <v>42969</v>
      </c>
      <c r="B20" s="261" t="s">
        <v>235</v>
      </c>
      <c r="C20" s="262"/>
      <c r="D20" s="262"/>
      <c r="E20" s="263">
        <v>42951</v>
      </c>
      <c r="F20" s="263">
        <v>42993</v>
      </c>
      <c r="G20" s="264" t="s">
        <v>264</v>
      </c>
      <c r="H20" s="265" t="s">
        <v>278</v>
      </c>
      <c r="I20" s="262">
        <v>40</v>
      </c>
      <c r="J20" s="265">
        <v>9</v>
      </c>
      <c r="K20" s="262"/>
      <c r="L20" s="266"/>
      <c r="M20" s="267">
        <v>679</v>
      </c>
      <c r="N20" s="267">
        <v>296</v>
      </c>
      <c r="O20" s="268">
        <v>204</v>
      </c>
      <c r="P20" s="262"/>
      <c r="Q20" s="125"/>
      <c r="R20" s="119"/>
      <c r="S20" s="117"/>
      <c r="T20" s="68"/>
      <c r="U20" s="68"/>
      <c r="V20" s="68"/>
      <c r="W20" s="69"/>
      <c r="X20" s="69"/>
      <c r="Y20" s="69"/>
      <c r="Z20" s="68"/>
    </row>
    <row r="21" spans="1:26" s="70" customFormat="1" ht="15" x14ac:dyDescent="0.2">
      <c r="A21" s="260">
        <v>42969</v>
      </c>
      <c r="B21" s="261" t="s">
        <v>236</v>
      </c>
      <c r="C21" s="262"/>
      <c r="D21" s="262"/>
      <c r="E21" s="263">
        <v>42950</v>
      </c>
      <c r="F21" s="263">
        <v>42992</v>
      </c>
      <c r="G21" s="264" t="s">
        <v>264</v>
      </c>
      <c r="H21" s="265" t="s">
        <v>279</v>
      </c>
      <c r="I21" s="262">
        <v>43</v>
      </c>
      <c r="J21" s="265">
        <v>9</v>
      </c>
      <c r="K21" s="262"/>
      <c r="L21" s="266"/>
      <c r="M21" s="267">
        <v>585</v>
      </c>
      <c r="N21" s="267">
        <v>296</v>
      </c>
      <c r="O21" s="268">
        <v>176</v>
      </c>
      <c r="P21" s="262"/>
      <c r="Q21" s="125"/>
      <c r="R21" s="119"/>
      <c r="S21" s="117"/>
      <c r="T21" s="68"/>
      <c r="U21" s="68"/>
      <c r="V21" s="68"/>
      <c r="W21" s="69"/>
      <c r="X21" s="69"/>
      <c r="Y21" s="69"/>
      <c r="Z21" s="68"/>
    </row>
    <row r="22" spans="1:26" s="70" customFormat="1" ht="15" x14ac:dyDescent="0.2">
      <c r="A22" s="260">
        <v>42969</v>
      </c>
      <c r="B22" s="261" t="s">
        <v>237</v>
      </c>
      <c r="C22" s="262"/>
      <c r="D22" s="262"/>
      <c r="E22" s="263">
        <v>42950</v>
      </c>
      <c r="F22" s="263">
        <v>42992</v>
      </c>
      <c r="G22" s="264" t="s">
        <v>264</v>
      </c>
      <c r="H22" s="265" t="s">
        <v>280</v>
      </c>
      <c r="I22" s="262">
        <v>44</v>
      </c>
      <c r="J22" s="265">
        <v>9</v>
      </c>
      <c r="K22" s="262"/>
      <c r="L22" s="266"/>
      <c r="M22" s="267">
        <v>529</v>
      </c>
      <c r="N22" s="267">
        <v>296</v>
      </c>
      <c r="O22" s="268">
        <v>159</v>
      </c>
      <c r="P22" s="262"/>
      <c r="Q22" s="125"/>
      <c r="R22" s="119"/>
      <c r="S22" s="117"/>
      <c r="T22" s="68"/>
      <c r="U22" s="68"/>
      <c r="V22" s="68"/>
      <c r="W22" s="69"/>
      <c r="X22" s="69"/>
      <c r="Y22" s="69"/>
      <c r="Z22" s="68"/>
    </row>
    <row r="23" spans="1:26" s="70" customFormat="1" ht="15" x14ac:dyDescent="0.2">
      <c r="A23" s="260">
        <v>42969</v>
      </c>
      <c r="B23" s="261" t="s">
        <v>238</v>
      </c>
      <c r="C23" s="262"/>
      <c r="D23" s="262"/>
      <c r="E23" s="263">
        <v>42954</v>
      </c>
      <c r="F23" s="263">
        <v>42996</v>
      </c>
      <c r="G23" s="264" t="s">
        <v>264</v>
      </c>
      <c r="H23" s="265" t="s">
        <v>281</v>
      </c>
      <c r="I23" s="262">
        <v>40</v>
      </c>
      <c r="J23" s="265">
        <v>9</v>
      </c>
      <c r="K23" s="262"/>
      <c r="L23" s="266"/>
      <c r="M23" s="267">
        <v>695</v>
      </c>
      <c r="N23" s="267">
        <v>411</v>
      </c>
      <c r="O23" s="268">
        <v>287</v>
      </c>
      <c r="P23" s="262"/>
      <c r="Q23" s="125"/>
      <c r="R23" s="119"/>
      <c r="S23" s="117"/>
      <c r="T23" s="68"/>
      <c r="U23" s="68"/>
      <c r="V23" s="68"/>
      <c r="W23" s="69"/>
      <c r="X23" s="69"/>
      <c r="Y23" s="69"/>
      <c r="Z23" s="68"/>
    </row>
    <row r="24" spans="1:26" s="70" customFormat="1" ht="15" x14ac:dyDescent="0.2">
      <c r="A24" s="260">
        <v>42969</v>
      </c>
      <c r="B24" s="261" t="s">
        <v>239</v>
      </c>
      <c r="C24" s="262"/>
      <c r="D24" s="262"/>
      <c r="E24" s="263">
        <v>42954</v>
      </c>
      <c r="F24" s="263">
        <v>42996</v>
      </c>
      <c r="G24" s="264" t="s">
        <v>264</v>
      </c>
      <c r="H24" s="265" t="s">
        <v>282</v>
      </c>
      <c r="I24" s="262">
        <v>45</v>
      </c>
      <c r="J24" s="265">
        <v>9</v>
      </c>
      <c r="K24" s="262"/>
      <c r="L24" s="266"/>
      <c r="M24" s="267">
        <v>513</v>
      </c>
      <c r="N24" s="267">
        <v>296</v>
      </c>
      <c r="O24" s="268">
        <v>154</v>
      </c>
      <c r="P24" s="262"/>
      <c r="Q24" s="125"/>
      <c r="R24" s="119"/>
      <c r="S24" s="118"/>
      <c r="T24" s="68"/>
      <c r="U24" s="68"/>
      <c r="V24" s="68"/>
      <c r="W24" s="69"/>
      <c r="X24" s="69"/>
      <c r="Y24" s="69"/>
      <c r="Z24" s="68"/>
    </row>
    <row r="25" spans="1:26" s="70" customFormat="1" ht="15" x14ac:dyDescent="0.2">
      <c r="A25" s="260">
        <v>42969</v>
      </c>
      <c r="B25" s="261" t="s">
        <v>240</v>
      </c>
      <c r="C25" s="262"/>
      <c r="D25" s="262"/>
      <c r="E25" s="263">
        <v>42954</v>
      </c>
      <c r="F25" s="263">
        <v>42996</v>
      </c>
      <c r="G25" s="264" t="s">
        <v>264</v>
      </c>
      <c r="H25" s="265" t="s">
        <v>283</v>
      </c>
      <c r="I25" s="262">
        <v>49</v>
      </c>
      <c r="J25" s="265">
        <v>9</v>
      </c>
      <c r="K25" s="262"/>
      <c r="L25" s="266"/>
      <c r="M25" s="267">
        <v>427</v>
      </c>
      <c r="N25" s="267">
        <v>296</v>
      </c>
      <c r="O25" s="268">
        <v>128</v>
      </c>
      <c r="P25" s="262"/>
      <c r="Q25" s="125"/>
      <c r="R25" s="119"/>
      <c r="S25" s="117"/>
      <c r="T25" s="68"/>
      <c r="U25" s="68"/>
      <c r="V25" s="68"/>
      <c r="W25" s="69"/>
      <c r="X25" s="69"/>
      <c r="Y25" s="69"/>
      <c r="Z25" s="68"/>
    </row>
    <row r="26" spans="1:26" s="70" customFormat="1" ht="15" x14ac:dyDescent="0.2">
      <c r="A26" s="260">
        <v>42969</v>
      </c>
      <c r="B26" s="261" t="s">
        <v>241</v>
      </c>
      <c r="C26" s="262"/>
      <c r="D26" s="262"/>
      <c r="E26" s="263">
        <v>42951</v>
      </c>
      <c r="F26" s="263">
        <v>42993</v>
      </c>
      <c r="G26" s="264" t="s">
        <v>264</v>
      </c>
      <c r="H26" s="265" t="s">
        <v>284</v>
      </c>
      <c r="I26" s="262">
        <v>43</v>
      </c>
      <c r="J26" s="265">
        <v>9</v>
      </c>
      <c r="K26" s="262"/>
      <c r="L26" s="266"/>
      <c r="M26" s="267">
        <v>586</v>
      </c>
      <c r="N26" s="267">
        <v>296</v>
      </c>
      <c r="O26" s="268">
        <v>176</v>
      </c>
      <c r="P26" s="262"/>
      <c r="Q26" s="125"/>
      <c r="R26" s="119"/>
      <c r="S26" s="117"/>
      <c r="T26" s="68"/>
      <c r="U26" s="68"/>
      <c r="V26" s="68"/>
      <c r="W26" s="69"/>
      <c r="X26" s="69"/>
      <c r="Y26" s="69"/>
      <c r="Z26" s="68"/>
    </row>
    <row r="27" spans="1:26" s="70" customFormat="1" ht="15" x14ac:dyDescent="0.2">
      <c r="A27" s="260">
        <v>42969</v>
      </c>
      <c r="B27" s="261" t="s">
        <v>242</v>
      </c>
      <c r="C27" s="262"/>
      <c r="D27" s="262"/>
      <c r="E27" s="263">
        <v>42951</v>
      </c>
      <c r="F27" s="263">
        <v>42993</v>
      </c>
      <c r="G27" s="264" t="s">
        <v>264</v>
      </c>
      <c r="H27" s="265" t="s">
        <v>285</v>
      </c>
      <c r="I27" s="262">
        <v>40</v>
      </c>
      <c r="J27" s="265">
        <v>9</v>
      </c>
      <c r="K27" s="262"/>
      <c r="L27" s="266"/>
      <c r="M27" s="267">
        <v>700</v>
      </c>
      <c r="N27" s="267">
        <v>296</v>
      </c>
      <c r="O27" s="268">
        <v>210</v>
      </c>
      <c r="P27" s="262"/>
      <c r="Q27" s="125"/>
      <c r="R27" s="119"/>
      <c r="S27" s="117"/>
      <c r="T27" s="68"/>
      <c r="U27" s="68"/>
      <c r="V27" s="68"/>
      <c r="W27" s="69"/>
      <c r="X27" s="69"/>
      <c r="Y27" s="69"/>
      <c r="Z27" s="68"/>
    </row>
    <row r="28" spans="1:26" ht="15" x14ac:dyDescent="0.2">
      <c r="A28" s="260">
        <v>42969</v>
      </c>
      <c r="B28" s="261" t="s">
        <v>243</v>
      </c>
      <c r="C28" s="262"/>
      <c r="D28" s="262"/>
      <c r="E28" s="263">
        <v>42954</v>
      </c>
      <c r="F28" s="263">
        <v>42996</v>
      </c>
      <c r="G28" s="264" t="s">
        <v>264</v>
      </c>
      <c r="H28" s="265" t="s">
        <v>286</v>
      </c>
      <c r="I28" s="262">
        <v>40</v>
      </c>
      <c r="J28" s="265">
        <v>9</v>
      </c>
      <c r="K28" s="262"/>
      <c r="L28" s="266"/>
      <c r="M28" s="267">
        <v>705</v>
      </c>
      <c r="N28" s="267">
        <v>296</v>
      </c>
      <c r="O28" s="268">
        <v>211</v>
      </c>
      <c r="P28" s="262"/>
      <c r="Q28" s="125"/>
      <c r="R28" s="119"/>
      <c r="S28" s="118"/>
    </row>
    <row r="29" spans="1:26" ht="15" x14ac:dyDescent="0.2">
      <c r="A29" s="260">
        <v>42969</v>
      </c>
      <c r="B29" s="261" t="s">
        <v>244</v>
      </c>
      <c r="C29" s="262"/>
      <c r="D29" s="262"/>
      <c r="E29" s="263">
        <v>42954</v>
      </c>
      <c r="F29" s="263">
        <v>42996</v>
      </c>
      <c r="G29" s="264" t="s">
        <v>264</v>
      </c>
      <c r="H29" s="265" t="s">
        <v>287</v>
      </c>
      <c r="I29" s="262">
        <v>39</v>
      </c>
      <c r="J29" s="265">
        <v>9</v>
      </c>
      <c r="K29" s="262"/>
      <c r="L29" s="266"/>
      <c r="M29" s="267">
        <v>729</v>
      </c>
      <c r="N29" s="267">
        <v>327</v>
      </c>
      <c r="O29" s="268">
        <v>240</v>
      </c>
      <c r="P29" s="262"/>
      <c r="Q29" s="125"/>
      <c r="R29" s="119"/>
      <c r="S29" s="117"/>
    </row>
    <row r="30" spans="1:26" ht="15" x14ac:dyDescent="0.2">
      <c r="A30" s="260">
        <v>42969</v>
      </c>
      <c r="B30" s="261" t="s">
        <v>245</v>
      </c>
      <c r="C30" s="262"/>
      <c r="D30" s="262"/>
      <c r="E30" s="263">
        <v>42949</v>
      </c>
      <c r="F30" s="263">
        <v>42991</v>
      </c>
      <c r="G30" s="264" t="s">
        <v>264</v>
      </c>
      <c r="H30" s="265" t="s">
        <v>288</v>
      </c>
      <c r="I30" s="262">
        <v>131</v>
      </c>
      <c r="J30" s="265">
        <v>9</v>
      </c>
      <c r="K30" s="262"/>
      <c r="L30" s="266"/>
      <c r="M30" s="267">
        <v>95</v>
      </c>
      <c r="N30" s="267">
        <v>296</v>
      </c>
      <c r="O30" s="268">
        <v>28</v>
      </c>
      <c r="P30" s="262"/>
      <c r="Q30" s="125"/>
      <c r="R30" s="119"/>
      <c r="S30" s="117"/>
    </row>
    <row r="31" spans="1:26" ht="15" x14ac:dyDescent="0.2">
      <c r="A31" s="260">
        <v>42969</v>
      </c>
      <c r="B31" s="261" t="s">
        <v>246</v>
      </c>
      <c r="C31" s="262"/>
      <c r="D31" s="262"/>
      <c r="E31" s="263">
        <v>42950</v>
      </c>
      <c r="F31" s="263">
        <v>42992</v>
      </c>
      <c r="G31" s="264" t="s">
        <v>264</v>
      </c>
      <c r="H31" s="265" t="s">
        <v>289</v>
      </c>
      <c r="I31" s="262">
        <v>154</v>
      </c>
      <c r="J31" s="265">
        <v>9</v>
      </c>
      <c r="K31" s="262"/>
      <c r="L31" s="266"/>
      <c r="M31" s="267">
        <v>78</v>
      </c>
      <c r="N31" s="267">
        <v>296</v>
      </c>
      <c r="O31" s="268">
        <v>23</v>
      </c>
      <c r="P31" s="262"/>
      <c r="Q31" s="125"/>
      <c r="R31" s="119"/>
      <c r="S31" s="117"/>
    </row>
    <row r="32" spans="1:26" ht="15" x14ac:dyDescent="0.2">
      <c r="A32" s="260">
        <v>42969</v>
      </c>
      <c r="B32" s="261" t="s">
        <v>247</v>
      </c>
      <c r="C32" s="262"/>
      <c r="D32" s="262"/>
      <c r="E32" s="263">
        <v>42955</v>
      </c>
      <c r="F32" s="263">
        <v>42997</v>
      </c>
      <c r="G32" s="264" t="s">
        <v>264</v>
      </c>
      <c r="H32" s="265" t="s">
        <v>290</v>
      </c>
      <c r="I32" s="262">
        <v>48</v>
      </c>
      <c r="J32" s="265">
        <v>9</v>
      </c>
      <c r="K32" s="262"/>
      <c r="L32" s="266"/>
      <c r="M32" s="267">
        <v>441</v>
      </c>
      <c r="N32" s="267">
        <v>296</v>
      </c>
      <c r="O32" s="268">
        <v>132</v>
      </c>
      <c r="P32" s="262"/>
      <c r="Q32" s="125"/>
      <c r="R32" s="119"/>
      <c r="S32" s="117"/>
    </row>
    <row r="33" spans="1:19" ht="15" x14ac:dyDescent="0.2">
      <c r="A33" s="260">
        <v>42969</v>
      </c>
      <c r="B33" s="261" t="s">
        <v>248</v>
      </c>
      <c r="C33" s="262"/>
      <c r="D33" s="262"/>
      <c r="E33" s="263">
        <v>42955</v>
      </c>
      <c r="F33" s="263">
        <v>42997</v>
      </c>
      <c r="G33" s="264" t="s">
        <v>266</v>
      </c>
      <c r="H33" s="265" t="s">
        <v>291</v>
      </c>
      <c r="I33" s="262">
        <v>73</v>
      </c>
      <c r="J33" s="265">
        <v>9</v>
      </c>
      <c r="K33" s="262"/>
      <c r="L33" s="266"/>
      <c r="M33" s="267">
        <v>212</v>
      </c>
      <c r="N33" s="267">
        <v>296</v>
      </c>
      <c r="O33" s="268">
        <v>64</v>
      </c>
      <c r="P33" s="262"/>
      <c r="Q33" s="125"/>
      <c r="R33" s="119"/>
      <c r="S33" s="117"/>
    </row>
    <row r="34" spans="1:19" ht="15" x14ac:dyDescent="0.2">
      <c r="A34" s="260">
        <v>42969</v>
      </c>
      <c r="B34" s="261" t="s">
        <v>249</v>
      </c>
      <c r="C34" s="262"/>
      <c r="D34" s="262"/>
      <c r="E34" s="263">
        <v>42955</v>
      </c>
      <c r="F34" s="263">
        <v>42997</v>
      </c>
      <c r="G34" s="264" t="s">
        <v>266</v>
      </c>
      <c r="H34" s="265" t="s">
        <v>292</v>
      </c>
      <c r="I34" s="262">
        <v>64</v>
      </c>
      <c r="J34" s="265">
        <v>9</v>
      </c>
      <c r="K34" s="262"/>
      <c r="L34" s="266"/>
      <c r="M34" s="267">
        <v>259</v>
      </c>
      <c r="N34" s="267">
        <v>296</v>
      </c>
      <c r="O34" s="268">
        <v>78</v>
      </c>
      <c r="P34" s="262"/>
      <c r="Q34" s="125"/>
      <c r="R34" s="119"/>
      <c r="S34" s="117"/>
    </row>
    <row r="35" spans="1:19" ht="15" x14ac:dyDescent="0.2">
      <c r="A35" s="260">
        <v>42969</v>
      </c>
      <c r="B35" s="261" t="s">
        <v>250</v>
      </c>
      <c r="C35" s="262"/>
      <c r="D35" s="262"/>
      <c r="E35" s="263">
        <v>42955</v>
      </c>
      <c r="F35" s="263">
        <v>42997</v>
      </c>
      <c r="G35" s="264" t="s">
        <v>264</v>
      </c>
      <c r="H35" s="265" t="s">
        <v>293</v>
      </c>
      <c r="I35" s="262">
        <v>43</v>
      </c>
      <c r="J35" s="265">
        <v>9</v>
      </c>
      <c r="K35" s="262"/>
      <c r="L35" s="266"/>
      <c r="M35" s="267">
        <v>561</v>
      </c>
      <c r="N35" s="267">
        <v>296</v>
      </c>
      <c r="O35" s="268">
        <v>168</v>
      </c>
      <c r="P35" s="262"/>
      <c r="Q35" s="125"/>
      <c r="R35" s="119"/>
      <c r="S35" s="117"/>
    </row>
    <row r="36" spans="1:19" ht="20.25" customHeight="1" x14ac:dyDescent="0.2">
      <c r="A36" s="260">
        <v>42969</v>
      </c>
      <c r="B36" s="261" t="s">
        <v>251</v>
      </c>
      <c r="C36" s="262"/>
      <c r="D36" s="262"/>
      <c r="E36" s="263">
        <v>42955</v>
      </c>
      <c r="F36" s="263">
        <v>42997</v>
      </c>
      <c r="G36" s="264" t="s">
        <v>266</v>
      </c>
      <c r="H36" s="265" t="s">
        <v>294</v>
      </c>
      <c r="I36" s="262">
        <v>42</v>
      </c>
      <c r="J36" s="265">
        <v>9</v>
      </c>
      <c r="K36" s="262"/>
      <c r="L36" s="266"/>
      <c r="M36" s="267">
        <v>616</v>
      </c>
      <c r="N36" s="267">
        <v>296</v>
      </c>
      <c r="O36" s="268">
        <v>185</v>
      </c>
      <c r="P36" s="262"/>
      <c r="Q36" s="122"/>
      <c r="R36" s="121"/>
      <c r="S36" s="120"/>
    </row>
    <row r="37" spans="1:19" ht="15" x14ac:dyDescent="0.2">
      <c r="A37" s="260">
        <v>42969</v>
      </c>
      <c r="B37" s="261" t="s">
        <v>252</v>
      </c>
      <c r="C37" s="262"/>
      <c r="D37" s="262"/>
      <c r="E37" s="263">
        <v>42955</v>
      </c>
      <c r="F37" s="263">
        <v>42997</v>
      </c>
      <c r="G37" s="264" t="s">
        <v>266</v>
      </c>
      <c r="H37" s="265" t="s">
        <v>295</v>
      </c>
      <c r="I37" s="262">
        <v>51</v>
      </c>
      <c r="J37" s="265">
        <v>9</v>
      </c>
      <c r="K37" s="262"/>
      <c r="L37" s="266"/>
      <c r="M37" s="267">
        <v>391</v>
      </c>
      <c r="N37" s="267">
        <v>296</v>
      </c>
      <c r="O37" s="268">
        <v>117</v>
      </c>
      <c r="P37" s="262"/>
      <c r="Q37" s="126"/>
      <c r="R37" s="123"/>
    </row>
    <row r="38" spans="1:19" ht="15" x14ac:dyDescent="0.2">
      <c r="A38" s="260">
        <v>42969</v>
      </c>
      <c r="B38" s="261" t="s">
        <v>253</v>
      </c>
      <c r="C38" s="262"/>
      <c r="D38" s="262"/>
      <c r="E38" s="263">
        <v>42956</v>
      </c>
      <c r="F38" s="263">
        <v>42998</v>
      </c>
      <c r="G38" s="264" t="s">
        <v>266</v>
      </c>
      <c r="H38" s="265" t="s">
        <v>268</v>
      </c>
      <c r="I38" s="262">
        <v>47</v>
      </c>
      <c r="J38" s="265">
        <v>9</v>
      </c>
      <c r="K38" s="262"/>
      <c r="L38" s="266"/>
      <c r="M38" s="267">
        <v>460</v>
      </c>
      <c r="N38" s="267">
        <v>296</v>
      </c>
      <c r="O38" s="268">
        <v>138</v>
      </c>
      <c r="P38" s="262"/>
      <c r="Q38" s="126"/>
      <c r="R38" s="123"/>
    </row>
    <row r="39" spans="1:19" ht="15" x14ac:dyDescent="0.2">
      <c r="A39" s="260">
        <v>42969</v>
      </c>
      <c r="B39" s="261" t="s">
        <v>254</v>
      </c>
      <c r="C39" s="262"/>
      <c r="D39" s="262"/>
      <c r="E39" s="263">
        <v>42956</v>
      </c>
      <c r="F39" s="263">
        <v>42998</v>
      </c>
      <c r="G39" s="264" t="s">
        <v>266</v>
      </c>
      <c r="H39" s="265" t="s">
        <v>296</v>
      </c>
      <c r="I39" s="262">
        <v>40</v>
      </c>
      <c r="J39" s="265">
        <v>9</v>
      </c>
      <c r="K39" s="262"/>
      <c r="L39" s="266"/>
      <c r="M39" s="267">
        <v>682</v>
      </c>
      <c r="N39" s="267">
        <v>298</v>
      </c>
      <c r="O39" s="268">
        <v>205</v>
      </c>
      <c r="P39" s="262"/>
      <c r="Q39" s="127"/>
      <c r="R39" s="124"/>
    </row>
    <row r="40" spans="1:19" ht="15" x14ac:dyDescent="0.2">
      <c r="A40" s="260">
        <v>42969</v>
      </c>
      <c r="B40" s="261" t="s">
        <v>255</v>
      </c>
      <c r="C40" s="262"/>
      <c r="D40" s="262"/>
      <c r="E40" s="263">
        <v>42956</v>
      </c>
      <c r="F40" s="263">
        <v>42998</v>
      </c>
      <c r="G40" s="264" t="s">
        <v>266</v>
      </c>
      <c r="H40" s="265" t="s">
        <v>297</v>
      </c>
      <c r="I40" s="262">
        <v>39</v>
      </c>
      <c r="J40" s="265">
        <v>9</v>
      </c>
      <c r="K40" s="262"/>
      <c r="L40" s="266"/>
      <c r="M40" s="267">
        <v>725</v>
      </c>
      <c r="N40" s="267">
        <v>298</v>
      </c>
      <c r="O40" s="268">
        <v>218</v>
      </c>
      <c r="P40" s="262"/>
    </row>
    <row r="41" spans="1:19" ht="15" x14ac:dyDescent="0.2">
      <c r="A41" s="260">
        <v>42969</v>
      </c>
      <c r="B41" s="261" t="s">
        <v>256</v>
      </c>
      <c r="C41" s="262"/>
      <c r="D41" s="262"/>
      <c r="E41" s="263">
        <v>42956</v>
      </c>
      <c r="F41" s="263">
        <v>42998</v>
      </c>
      <c r="G41" s="264" t="s">
        <v>266</v>
      </c>
      <c r="H41" s="265" t="s">
        <v>298</v>
      </c>
      <c r="I41" s="262">
        <v>52</v>
      </c>
      <c r="J41" s="265">
        <v>9</v>
      </c>
      <c r="K41" s="262"/>
      <c r="L41" s="266"/>
      <c r="M41" s="267">
        <v>381</v>
      </c>
      <c r="N41" s="267">
        <v>296</v>
      </c>
      <c r="O41" s="268">
        <v>114</v>
      </c>
      <c r="P41" s="262"/>
    </row>
    <row r="42" spans="1:19" ht="15" x14ac:dyDescent="0.2">
      <c r="A42" s="260">
        <v>42969</v>
      </c>
      <c r="B42" s="261" t="s">
        <v>257</v>
      </c>
      <c r="C42" s="262"/>
      <c r="D42" s="262"/>
      <c r="E42" s="263">
        <v>42956</v>
      </c>
      <c r="F42" s="263">
        <v>42998</v>
      </c>
      <c r="G42" s="264" t="s">
        <v>266</v>
      </c>
      <c r="H42" s="265" t="s">
        <v>282</v>
      </c>
      <c r="I42" s="262">
        <v>61</v>
      </c>
      <c r="J42" s="265">
        <v>9</v>
      </c>
      <c r="K42" s="262"/>
      <c r="L42" s="266"/>
      <c r="M42" s="267">
        <v>278</v>
      </c>
      <c r="N42" s="267">
        <v>296</v>
      </c>
      <c r="O42" s="268">
        <v>83</v>
      </c>
      <c r="P42" s="262"/>
    </row>
    <row r="43" spans="1:19" ht="15" x14ac:dyDescent="0.2">
      <c r="A43" s="260">
        <v>42969</v>
      </c>
      <c r="B43" s="261" t="s">
        <v>258</v>
      </c>
      <c r="C43" s="262"/>
      <c r="D43" s="262"/>
      <c r="E43" s="263">
        <v>42956</v>
      </c>
      <c r="F43" s="263">
        <v>42998</v>
      </c>
      <c r="G43" s="264" t="s">
        <v>266</v>
      </c>
      <c r="H43" s="265" t="s">
        <v>286</v>
      </c>
      <c r="I43" s="262">
        <v>41</v>
      </c>
      <c r="J43" s="265">
        <v>9</v>
      </c>
      <c r="K43" s="262"/>
      <c r="L43" s="266"/>
      <c r="M43" s="267">
        <v>652</v>
      </c>
      <c r="N43" s="267">
        <v>253</v>
      </c>
      <c r="O43" s="268">
        <v>166</v>
      </c>
      <c r="P43" s="262"/>
    </row>
    <row r="44" spans="1:19" ht="15" x14ac:dyDescent="0.2">
      <c r="A44" s="260">
        <v>42969</v>
      </c>
      <c r="B44" s="261" t="s">
        <v>259</v>
      </c>
      <c r="C44" s="262"/>
      <c r="D44" s="262"/>
      <c r="E44" s="263">
        <v>42956</v>
      </c>
      <c r="F44" s="263">
        <v>42998</v>
      </c>
      <c r="G44" s="264" t="s">
        <v>266</v>
      </c>
      <c r="H44" s="265" t="s">
        <v>287</v>
      </c>
      <c r="I44" s="262">
        <v>41</v>
      </c>
      <c r="J44" s="265">
        <v>9</v>
      </c>
      <c r="K44" s="262"/>
      <c r="L44" s="266"/>
      <c r="M44" s="267">
        <v>647</v>
      </c>
      <c r="N44" s="267">
        <v>198</v>
      </c>
      <c r="O44" s="268">
        <v>129</v>
      </c>
      <c r="P44" s="262"/>
    </row>
    <row r="45" spans="1:19" ht="15" x14ac:dyDescent="0.2">
      <c r="A45" s="260">
        <v>42969</v>
      </c>
      <c r="B45" s="261" t="s">
        <v>260</v>
      </c>
      <c r="C45" s="262"/>
      <c r="D45" s="262"/>
      <c r="E45" s="263">
        <v>42956</v>
      </c>
      <c r="F45" s="263">
        <v>42998</v>
      </c>
      <c r="G45" s="264" t="s">
        <v>299</v>
      </c>
      <c r="H45" s="265" t="s">
        <v>300</v>
      </c>
      <c r="I45" s="262">
        <v>40</v>
      </c>
      <c r="J45" s="265">
        <v>9</v>
      </c>
      <c r="K45" s="262"/>
      <c r="L45" s="266"/>
      <c r="M45" s="267">
        <v>702</v>
      </c>
      <c r="N45" s="267">
        <v>375</v>
      </c>
      <c r="O45" s="268">
        <v>265</v>
      </c>
      <c r="P45" s="262"/>
    </row>
    <row r="46" spans="1:19" ht="15" x14ac:dyDescent="0.2">
      <c r="A46" s="260">
        <v>42969</v>
      </c>
      <c r="B46" s="261" t="s">
        <v>261</v>
      </c>
      <c r="C46" s="262"/>
      <c r="D46" s="262"/>
      <c r="E46" s="263">
        <v>42956</v>
      </c>
      <c r="F46" s="263">
        <v>42998</v>
      </c>
      <c r="G46" s="264" t="s">
        <v>264</v>
      </c>
      <c r="H46" s="265" t="s">
        <v>153</v>
      </c>
      <c r="I46" s="262">
        <v>49</v>
      </c>
      <c r="J46" s="265">
        <v>9</v>
      </c>
      <c r="K46" s="262"/>
      <c r="L46" s="266"/>
      <c r="M46" s="267">
        <v>428</v>
      </c>
      <c r="N46" s="267">
        <v>296</v>
      </c>
      <c r="O46" s="268">
        <v>128</v>
      </c>
      <c r="P46" s="262"/>
    </row>
    <row r="47" spans="1:19" x14ac:dyDescent="0.2">
      <c r="A47" s="197"/>
      <c r="B47" s="198"/>
      <c r="C47" s="198"/>
      <c r="D47" s="197"/>
      <c r="E47" s="197"/>
      <c r="F47" s="198"/>
      <c r="G47" s="198"/>
      <c r="H47" s="198"/>
      <c r="I47" s="199"/>
      <c r="J47" s="198"/>
      <c r="K47" s="198"/>
      <c r="L47" s="198"/>
      <c r="M47" s="198"/>
      <c r="N47" s="198"/>
      <c r="O47" s="198"/>
    </row>
    <row r="48" spans="1:19" x14ac:dyDescent="0.2">
      <c r="A48" s="197"/>
      <c r="B48" s="198"/>
      <c r="C48" s="198"/>
      <c r="D48" s="197"/>
      <c r="E48" s="197"/>
      <c r="F48" s="198"/>
      <c r="G48" s="198"/>
      <c r="H48" s="198"/>
      <c r="I48" s="199"/>
      <c r="J48" s="198"/>
      <c r="K48" s="198"/>
      <c r="L48" s="198"/>
      <c r="M48" s="198"/>
      <c r="N48" s="198"/>
      <c r="O48" s="198"/>
    </row>
    <row r="49" spans="1:15" x14ac:dyDescent="0.2">
      <c r="A49" s="197"/>
      <c r="B49" s="198"/>
      <c r="C49" s="198"/>
      <c r="D49" s="197"/>
      <c r="E49" s="197"/>
      <c r="F49" s="198"/>
      <c r="G49" s="198"/>
      <c r="H49" s="198"/>
      <c r="I49" s="199"/>
      <c r="J49" s="198"/>
      <c r="K49" s="198"/>
      <c r="L49" s="198"/>
      <c r="M49" s="198"/>
      <c r="N49" s="198"/>
      <c r="O49" s="198"/>
    </row>
    <row r="50" spans="1:15" x14ac:dyDescent="0.2">
      <c r="A50" s="197"/>
      <c r="B50" s="198"/>
      <c r="C50" s="198"/>
      <c r="D50" s="197"/>
      <c r="E50" s="197"/>
      <c r="F50" s="198"/>
      <c r="G50" s="198"/>
      <c r="H50" s="198"/>
      <c r="I50" s="199"/>
      <c r="J50" s="198"/>
      <c r="K50" s="198"/>
      <c r="L50" s="198"/>
      <c r="M50" s="198"/>
      <c r="N50" s="198"/>
      <c r="O50" s="198"/>
    </row>
    <row r="51" spans="1:15" x14ac:dyDescent="0.2">
      <c r="A51" s="197"/>
      <c r="B51" s="198"/>
      <c r="C51" s="198"/>
      <c r="D51" s="197"/>
      <c r="E51" s="197"/>
      <c r="F51" s="198"/>
      <c r="G51" s="198"/>
      <c r="H51" s="198"/>
      <c r="I51" s="199"/>
      <c r="J51" s="198"/>
      <c r="K51" s="198"/>
      <c r="L51" s="198"/>
      <c r="M51" s="198"/>
      <c r="N51" s="198"/>
      <c r="O51" s="198"/>
    </row>
    <row r="52" spans="1:15" x14ac:dyDescent="0.2">
      <c r="A52" s="197"/>
      <c r="B52" s="198"/>
      <c r="C52" s="198"/>
      <c r="D52" s="197"/>
      <c r="E52" s="197"/>
      <c r="F52" s="198"/>
      <c r="G52" s="198"/>
      <c r="H52" s="198"/>
      <c r="I52" s="199"/>
      <c r="J52" s="198"/>
      <c r="K52" s="198"/>
      <c r="L52" s="198"/>
      <c r="M52" s="198"/>
      <c r="N52" s="198"/>
      <c r="O52" s="198"/>
    </row>
    <row r="53" spans="1:15" x14ac:dyDescent="0.2">
      <c r="A53" s="197"/>
      <c r="B53" s="198"/>
      <c r="C53" s="198"/>
      <c r="D53" s="197"/>
      <c r="E53" s="197"/>
      <c r="F53" s="198"/>
      <c r="G53" s="198"/>
      <c r="H53" s="198"/>
      <c r="I53" s="199"/>
      <c r="J53" s="198"/>
      <c r="K53" s="198"/>
      <c r="L53" s="198"/>
      <c r="M53" s="198"/>
      <c r="N53" s="198"/>
      <c r="O53" s="198"/>
    </row>
    <row r="54" spans="1:15" x14ac:dyDescent="0.2">
      <c r="A54" s="197"/>
      <c r="B54" s="198"/>
      <c r="C54" s="198"/>
      <c r="D54" s="197"/>
      <c r="E54" s="197"/>
      <c r="F54" s="198"/>
      <c r="G54" s="198"/>
      <c r="H54" s="198"/>
      <c r="I54" s="199"/>
      <c r="J54" s="198"/>
      <c r="K54" s="198"/>
      <c r="L54" s="198"/>
      <c r="M54" s="198"/>
      <c r="N54" s="198"/>
      <c r="O54" s="198"/>
    </row>
    <row r="55" spans="1:15" x14ac:dyDescent="0.2">
      <c r="A55" s="197"/>
      <c r="B55" s="198"/>
      <c r="C55" s="198"/>
      <c r="D55" s="197"/>
      <c r="E55" s="197"/>
      <c r="F55" s="198"/>
      <c r="G55" s="198"/>
      <c r="H55" s="198"/>
      <c r="I55" s="199"/>
      <c r="J55" s="198"/>
      <c r="K55" s="198"/>
      <c r="L55" s="198"/>
      <c r="M55" s="198"/>
      <c r="N55" s="198"/>
      <c r="O55" s="198"/>
    </row>
    <row r="56" spans="1:15" x14ac:dyDescent="0.2">
      <c r="A56" s="197"/>
      <c r="B56" s="198"/>
      <c r="C56" s="198"/>
      <c r="D56" s="197"/>
      <c r="E56" s="197"/>
      <c r="F56" s="198"/>
      <c r="G56" s="198"/>
      <c r="H56" s="198"/>
      <c r="I56" s="199"/>
      <c r="J56" s="198"/>
      <c r="K56" s="198"/>
      <c r="L56" s="198"/>
      <c r="M56" s="198"/>
      <c r="N56" s="198"/>
      <c r="O56" s="198"/>
    </row>
    <row r="57" spans="1:15" x14ac:dyDescent="0.2">
      <c r="A57" s="197"/>
      <c r="B57" s="198"/>
      <c r="C57" s="198"/>
      <c r="D57" s="197"/>
      <c r="E57" s="197"/>
      <c r="F57" s="198"/>
      <c r="G57" s="198"/>
      <c r="H57" s="198"/>
      <c r="I57" s="199"/>
      <c r="J57" s="198"/>
      <c r="K57" s="198"/>
      <c r="L57" s="198"/>
      <c r="M57" s="198"/>
      <c r="N57" s="198"/>
      <c r="O57" s="198"/>
    </row>
    <row r="58" spans="1:15" x14ac:dyDescent="0.2">
      <c r="A58" s="197"/>
      <c r="B58" s="198"/>
      <c r="C58" s="198"/>
      <c r="D58" s="197"/>
      <c r="E58" s="197"/>
      <c r="F58" s="198"/>
      <c r="G58" s="198"/>
      <c r="H58" s="198"/>
      <c r="I58" s="199"/>
      <c r="J58" s="198"/>
      <c r="K58" s="198"/>
      <c r="L58" s="198"/>
      <c r="M58" s="198"/>
      <c r="N58" s="198"/>
      <c r="O58" s="198"/>
    </row>
    <row r="59" spans="1:15" x14ac:dyDescent="0.2">
      <c r="A59" s="197"/>
      <c r="B59" s="198"/>
      <c r="C59" s="198"/>
      <c r="D59" s="197"/>
      <c r="E59" s="197"/>
      <c r="F59" s="198"/>
      <c r="G59" s="198"/>
      <c r="H59" s="198"/>
      <c r="I59" s="199"/>
      <c r="J59" s="198"/>
      <c r="K59" s="198"/>
      <c r="L59" s="198"/>
      <c r="M59" s="198"/>
      <c r="N59" s="198"/>
      <c r="O59" s="198"/>
    </row>
    <row r="60" spans="1:15" x14ac:dyDescent="0.2">
      <c r="A60" s="197"/>
      <c r="B60" s="198"/>
      <c r="C60" s="198"/>
      <c r="D60" s="197"/>
      <c r="E60" s="197"/>
      <c r="F60" s="198"/>
      <c r="G60" s="198"/>
      <c r="H60" s="198"/>
      <c r="I60" s="199"/>
      <c r="J60" s="198"/>
      <c r="K60" s="198"/>
      <c r="L60" s="198"/>
      <c r="M60" s="198"/>
      <c r="N60" s="198"/>
      <c r="O60" s="198"/>
    </row>
    <row r="61" spans="1:15" x14ac:dyDescent="0.2">
      <c r="A61" s="197"/>
      <c r="B61" s="198"/>
      <c r="C61" s="198"/>
      <c r="D61" s="197"/>
      <c r="E61" s="197"/>
      <c r="F61" s="198"/>
      <c r="G61" s="198"/>
      <c r="H61" s="198"/>
      <c r="I61" s="199"/>
      <c r="J61" s="198"/>
      <c r="K61" s="198"/>
      <c r="L61" s="198"/>
      <c r="M61" s="198"/>
      <c r="N61" s="198"/>
      <c r="O61" s="198"/>
    </row>
    <row r="62" spans="1:15" x14ac:dyDescent="0.2">
      <c r="A62" s="197"/>
      <c r="B62" s="198"/>
      <c r="C62" s="198"/>
      <c r="D62" s="197"/>
      <c r="E62" s="197"/>
      <c r="F62" s="198"/>
      <c r="G62" s="198"/>
      <c r="H62" s="198"/>
      <c r="I62" s="199"/>
      <c r="J62" s="198"/>
      <c r="K62" s="198"/>
      <c r="L62" s="198"/>
      <c r="M62" s="198"/>
      <c r="N62" s="198"/>
      <c r="O62" s="198"/>
    </row>
    <row r="63" spans="1:15" x14ac:dyDescent="0.2">
      <c r="A63" s="197"/>
      <c r="B63" s="198"/>
      <c r="C63" s="198"/>
      <c r="D63" s="197"/>
      <c r="E63" s="197"/>
      <c r="F63" s="198"/>
      <c r="G63" s="198"/>
      <c r="H63" s="198"/>
      <c r="I63" s="199"/>
      <c r="J63" s="198"/>
      <c r="K63" s="198"/>
      <c r="L63" s="198"/>
      <c r="M63" s="198"/>
      <c r="N63" s="198"/>
      <c r="O63" s="198"/>
    </row>
    <row r="64" spans="1:15" x14ac:dyDescent="0.2">
      <c r="A64" s="197"/>
      <c r="B64" s="198"/>
      <c r="C64" s="198"/>
      <c r="D64" s="197"/>
      <c r="E64" s="197"/>
      <c r="F64" s="198"/>
      <c r="G64" s="198"/>
      <c r="H64" s="198"/>
      <c r="I64" s="199"/>
      <c r="J64" s="198"/>
      <c r="K64" s="198"/>
      <c r="L64" s="198"/>
      <c r="M64" s="198"/>
      <c r="N64" s="198"/>
      <c r="O64" s="198"/>
    </row>
    <row r="65" spans="1:15" x14ac:dyDescent="0.2">
      <c r="A65" s="197"/>
      <c r="B65" s="198"/>
      <c r="C65" s="198"/>
      <c r="D65" s="197"/>
      <c r="E65" s="197"/>
      <c r="F65" s="198"/>
      <c r="G65" s="198"/>
      <c r="H65" s="198"/>
      <c r="I65" s="199"/>
      <c r="J65" s="198"/>
      <c r="K65" s="198"/>
      <c r="L65" s="198"/>
      <c r="M65" s="198"/>
      <c r="N65" s="198"/>
      <c r="O65" s="198"/>
    </row>
    <row r="66" spans="1:15" x14ac:dyDescent="0.2">
      <c r="A66" s="197"/>
      <c r="B66" s="198"/>
      <c r="C66" s="198"/>
      <c r="D66" s="197"/>
      <c r="E66" s="197"/>
      <c r="F66" s="198"/>
      <c r="G66" s="198"/>
      <c r="H66" s="198"/>
      <c r="I66" s="199"/>
      <c r="J66" s="198"/>
      <c r="K66" s="198"/>
      <c r="L66" s="198"/>
      <c r="M66" s="198"/>
      <c r="N66" s="198"/>
      <c r="O66" s="198"/>
    </row>
    <row r="67" spans="1:15" x14ac:dyDescent="0.2">
      <c r="A67" s="197"/>
      <c r="B67" s="198"/>
      <c r="C67" s="198"/>
      <c r="D67" s="197"/>
      <c r="E67" s="197"/>
      <c r="F67" s="198"/>
      <c r="G67" s="198"/>
      <c r="H67" s="198"/>
      <c r="I67" s="199"/>
      <c r="J67" s="198"/>
      <c r="K67" s="198"/>
      <c r="L67" s="198"/>
      <c r="M67" s="198"/>
      <c r="N67" s="198"/>
      <c r="O67" s="198"/>
    </row>
    <row r="68" spans="1:15" x14ac:dyDescent="0.2">
      <c r="A68" s="197"/>
      <c r="B68" s="198"/>
      <c r="C68" s="198"/>
      <c r="D68" s="197"/>
      <c r="E68" s="197"/>
      <c r="F68" s="198"/>
      <c r="G68" s="198"/>
      <c r="H68" s="198"/>
      <c r="I68" s="199"/>
      <c r="J68" s="198"/>
      <c r="K68" s="198"/>
      <c r="L68" s="198"/>
      <c r="M68" s="198"/>
      <c r="N68" s="198"/>
      <c r="O68" s="198"/>
    </row>
    <row r="69" spans="1:15" x14ac:dyDescent="0.2">
      <c r="A69" s="197"/>
      <c r="B69" s="198"/>
      <c r="C69" s="198"/>
      <c r="D69" s="197"/>
      <c r="E69" s="197"/>
      <c r="F69" s="198"/>
      <c r="G69" s="198"/>
      <c r="H69" s="198"/>
      <c r="I69" s="199"/>
      <c r="J69" s="198"/>
      <c r="K69" s="198"/>
      <c r="L69" s="198"/>
      <c r="M69" s="198"/>
      <c r="N69" s="198"/>
      <c r="O69" s="198"/>
    </row>
    <row r="70" spans="1:15" x14ac:dyDescent="0.2">
      <c r="A70" s="197"/>
      <c r="B70" s="198"/>
      <c r="C70" s="198"/>
      <c r="D70" s="197"/>
      <c r="E70" s="197"/>
      <c r="F70" s="198"/>
      <c r="G70" s="198"/>
      <c r="H70" s="198"/>
      <c r="I70" s="199"/>
      <c r="J70" s="198"/>
      <c r="K70" s="198"/>
      <c r="L70" s="198"/>
      <c r="M70" s="198"/>
      <c r="N70" s="198"/>
      <c r="O70" s="198"/>
    </row>
    <row r="71" spans="1:15" x14ac:dyDescent="0.2">
      <c r="A71" s="197"/>
      <c r="B71" s="198"/>
      <c r="C71" s="198"/>
      <c r="D71" s="197"/>
      <c r="E71" s="197"/>
      <c r="F71" s="198"/>
      <c r="G71" s="198"/>
      <c r="H71" s="198"/>
      <c r="I71" s="199"/>
      <c r="J71" s="198"/>
      <c r="K71" s="198"/>
      <c r="L71" s="198"/>
      <c r="M71" s="198"/>
      <c r="N71" s="198"/>
      <c r="O71" s="198"/>
    </row>
    <row r="72" spans="1:15" x14ac:dyDescent="0.2">
      <c r="A72" s="197"/>
      <c r="B72" s="198"/>
      <c r="C72" s="198"/>
      <c r="D72" s="197"/>
      <c r="E72" s="197"/>
      <c r="F72" s="198"/>
      <c r="G72" s="198"/>
      <c r="H72" s="198"/>
      <c r="I72" s="199"/>
      <c r="J72" s="198"/>
      <c r="K72" s="198"/>
      <c r="L72" s="198"/>
      <c r="M72" s="198"/>
      <c r="N72" s="198"/>
      <c r="O72" s="198"/>
    </row>
    <row r="73" spans="1:15" x14ac:dyDescent="0.2">
      <c r="A73" s="197"/>
      <c r="B73" s="198"/>
      <c r="C73" s="198"/>
      <c r="D73" s="197"/>
      <c r="E73" s="197"/>
      <c r="F73" s="198"/>
      <c r="G73" s="198"/>
      <c r="H73" s="198"/>
      <c r="I73" s="199"/>
      <c r="J73" s="198"/>
      <c r="K73" s="198"/>
      <c r="L73" s="198"/>
      <c r="M73" s="198"/>
      <c r="N73" s="198"/>
      <c r="O73" s="198"/>
    </row>
    <row r="74" spans="1:15" x14ac:dyDescent="0.2">
      <c r="A74" s="197"/>
      <c r="B74" s="198"/>
      <c r="C74" s="198"/>
      <c r="D74" s="197"/>
      <c r="E74" s="197"/>
      <c r="F74" s="198"/>
      <c r="G74" s="198"/>
      <c r="H74" s="198"/>
      <c r="I74" s="199"/>
      <c r="J74" s="198"/>
      <c r="K74" s="198"/>
      <c r="L74" s="198"/>
      <c r="M74" s="198"/>
      <c r="N74" s="198"/>
      <c r="O74" s="198"/>
    </row>
    <row r="75" spans="1:15" x14ac:dyDescent="0.2">
      <c r="A75" s="197"/>
      <c r="B75" s="198"/>
      <c r="C75" s="198"/>
      <c r="D75" s="197"/>
      <c r="E75" s="197"/>
      <c r="F75" s="198"/>
      <c r="G75" s="198"/>
      <c r="H75" s="198"/>
      <c r="I75" s="199"/>
      <c r="J75" s="198"/>
      <c r="K75" s="198"/>
      <c r="L75" s="198"/>
      <c r="M75" s="198"/>
      <c r="N75" s="198"/>
      <c r="O75" s="198"/>
    </row>
    <row r="76" spans="1:15" x14ac:dyDescent="0.2">
      <c r="A76" s="197"/>
      <c r="B76" s="198"/>
      <c r="C76" s="198"/>
      <c r="D76" s="197"/>
      <c r="E76" s="197"/>
      <c r="F76" s="198"/>
      <c r="G76" s="198"/>
      <c r="H76" s="198"/>
      <c r="I76" s="199"/>
      <c r="J76" s="198"/>
      <c r="K76" s="198"/>
      <c r="L76" s="198"/>
      <c r="M76" s="198"/>
      <c r="N76" s="198"/>
      <c r="O76" s="198"/>
    </row>
    <row r="77" spans="1:15" x14ac:dyDescent="0.2">
      <c r="A77" s="197"/>
      <c r="B77" s="198"/>
      <c r="C77" s="198"/>
      <c r="D77" s="197"/>
      <c r="E77" s="197"/>
      <c r="F77" s="198"/>
      <c r="G77" s="198"/>
      <c r="H77" s="198"/>
      <c r="I77" s="199"/>
      <c r="J77" s="198"/>
      <c r="K77" s="198"/>
      <c r="L77" s="198"/>
      <c r="M77" s="198"/>
      <c r="N77" s="198"/>
      <c r="O77" s="198"/>
    </row>
    <row r="78" spans="1:15" x14ac:dyDescent="0.2">
      <c r="A78" s="197"/>
      <c r="B78" s="198"/>
      <c r="C78" s="198"/>
      <c r="D78" s="197"/>
      <c r="E78" s="197"/>
      <c r="F78" s="198"/>
      <c r="G78" s="198"/>
      <c r="H78" s="198"/>
      <c r="I78" s="199"/>
      <c r="J78" s="198"/>
      <c r="K78" s="198"/>
      <c r="L78" s="198"/>
      <c r="M78" s="198"/>
      <c r="N78" s="198"/>
      <c r="O78" s="198"/>
    </row>
    <row r="79" spans="1:15" x14ac:dyDescent="0.2">
      <c r="A79" s="197"/>
      <c r="B79" s="198"/>
      <c r="C79" s="198"/>
      <c r="D79" s="197"/>
      <c r="E79" s="197"/>
      <c r="F79" s="198"/>
      <c r="G79" s="198"/>
      <c r="H79" s="198"/>
      <c r="I79" s="199"/>
      <c r="J79" s="198"/>
      <c r="K79" s="198"/>
      <c r="L79" s="198"/>
      <c r="M79" s="198"/>
      <c r="N79" s="198"/>
      <c r="O79" s="198"/>
    </row>
    <row r="80" spans="1:15" x14ac:dyDescent="0.2">
      <c r="A80" s="197"/>
      <c r="B80" s="198"/>
      <c r="C80" s="198"/>
      <c r="D80" s="197"/>
      <c r="E80" s="197"/>
      <c r="F80" s="198"/>
      <c r="G80" s="198"/>
      <c r="H80" s="198"/>
      <c r="I80" s="199"/>
      <c r="J80" s="198"/>
      <c r="K80" s="198"/>
      <c r="L80" s="198"/>
      <c r="M80" s="198"/>
      <c r="N80" s="198"/>
      <c r="O80" s="198"/>
    </row>
    <row r="81" spans="1:15" x14ac:dyDescent="0.2">
      <c r="A81" s="197"/>
      <c r="B81" s="198"/>
      <c r="C81" s="198"/>
      <c r="D81" s="197"/>
      <c r="E81" s="197"/>
      <c r="F81" s="198"/>
      <c r="G81" s="198"/>
      <c r="H81" s="198"/>
      <c r="I81" s="199"/>
      <c r="J81" s="198"/>
      <c r="K81" s="198"/>
      <c r="L81" s="198"/>
      <c r="M81" s="198"/>
      <c r="N81" s="198"/>
      <c r="O81" s="198"/>
    </row>
    <row r="82" spans="1:15" x14ac:dyDescent="0.2">
      <c r="A82" s="197"/>
      <c r="B82" s="198"/>
      <c r="C82" s="198"/>
      <c r="D82" s="197"/>
      <c r="E82" s="197"/>
      <c r="F82" s="198"/>
      <c r="G82" s="198"/>
      <c r="H82" s="198"/>
      <c r="I82" s="199"/>
      <c r="J82" s="198"/>
      <c r="K82" s="198"/>
      <c r="L82" s="198"/>
      <c r="M82" s="198"/>
      <c r="N82" s="198"/>
      <c r="O82" s="198"/>
    </row>
    <row r="83" spans="1:15" x14ac:dyDescent="0.2">
      <c r="A83" s="197"/>
      <c r="B83" s="198"/>
      <c r="C83" s="198"/>
      <c r="D83" s="197"/>
      <c r="E83" s="197"/>
      <c r="F83" s="198"/>
      <c r="G83" s="198"/>
      <c r="H83" s="198"/>
      <c r="I83" s="199"/>
      <c r="J83" s="198"/>
      <c r="K83" s="198"/>
      <c r="L83" s="198"/>
      <c r="M83" s="198"/>
      <c r="N83" s="198"/>
      <c r="O83" s="198"/>
    </row>
    <row r="84" spans="1:15" x14ac:dyDescent="0.2">
      <c r="A84" s="197"/>
      <c r="B84" s="198"/>
      <c r="C84" s="198"/>
      <c r="D84" s="197"/>
      <c r="E84" s="197"/>
      <c r="F84" s="198"/>
      <c r="G84" s="198"/>
      <c r="H84" s="198"/>
      <c r="I84" s="199"/>
      <c r="J84" s="198"/>
      <c r="K84" s="198"/>
      <c r="L84" s="198"/>
      <c r="M84" s="198"/>
      <c r="N84" s="198"/>
      <c r="O84" s="198"/>
    </row>
    <row r="85" spans="1:15" x14ac:dyDescent="0.2">
      <c r="A85" s="197"/>
      <c r="B85" s="198"/>
      <c r="C85" s="198"/>
      <c r="D85" s="197"/>
      <c r="E85" s="197"/>
      <c r="F85" s="198"/>
      <c r="G85" s="198"/>
      <c r="H85" s="198"/>
      <c r="I85" s="199"/>
      <c r="J85" s="198"/>
      <c r="K85" s="198"/>
      <c r="L85" s="198"/>
      <c r="M85" s="198"/>
      <c r="N85" s="198"/>
      <c r="O85" s="198"/>
    </row>
    <row r="86" spans="1:15" x14ac:dyDescent="0.2">
      <c r="A86" s="197"/>
      <c r="B86" s="198"/>
      <c r="C86" s="198"/>
      <c r="D86" s="197"/>
      <c r="E86" s="197"/>
      <c r="F86" s="198"/>
      <c r="G86" s="198"/>
      <c r="H86" s="198"/>
      <c r="I86" s="199"/>
      <c r="J86" s="198"/>
      <c r="K86" s="198"/>
      <c r="L86" s="198"/>
      <c r="M86" s="198"/>
      <c r="N86" s="198"/>
      <c r="O86" s="198"/>
    </row>
    <row r="87" spans="1:15" x14ac:dyDescent="0.2">
      <c r="A87" s="197"/>
      <c r="B87" s="198"/>
      <c r="C87" s="198"/>
      <c r="D87" s="197"/>
      <c r="E87" s="197"/>
      <c r="F87" s="198"/>
      <c r="G87" s="198"/>
      <c r="H87" s="198"/>
      <c r="I87" s="199"/>
      <c r="J87" s="198"/>
      <c r="K87" s="198"/>
      <c r="L87" s="198"/>
      <c r="M87" s="198"/>
      <c r="N87" s="198"/>
      <c r="O87" s="198"/>
    </row>
    <row r="88" spans="1:15" x14ac:dyDescent="0.2">
      <c r="A88" s="197"/>
      <c r="B88" s="198"/>
      <c r="C88" s="198"/>
      <c r="D88" s="197"/>
      <c r="E88" s="197"/>
      <c r="F88" s="198"/>
      <c r="G88" s="198"/>
      <c r="H88" s="198"/>
      <c r="I88" s="199"/>
      <c r="J88" s="198"/>
      <c r="K88" s="198"/>
      <c r="L88" s="198"/>
      <c r="M88" s="198"/>
      <c r="N88" s="198"/>
      <c r="O88" s="198"/>
    </row>
    <row r="89" spans="1:15" x14ac:dyDescent="0.2">
      <c r="A89" s="197"/>
      <c r="B89" s="198"/>
      <c r="C89" s="198"/>
      <c r="D89" s="197"/>
      <c r="E89" s="197"/>
      <c r="F89" s="198"/>
      <c r="G89" s="198"/>
      <c r="H89" s="198"/>
      <c r="I89" s="199"/>
      <c r="J89" s="198"/>
      <c r="K89" s="198"/>
      <c r="L89" s="198"/>
      <c r="M89" s="198"/>
      <c r="N89" s="198"/>
      <c r="O89" s="198"/>
    </row>
    <row r="90" spans="1:15" x14ac:dyDescent="0.2">
      <c r="A90" s="197"/>
      <c r="B90" s="198"/>
      <c r="C90" s="198"/>
      <c r="D90" s="197"/>
      <c r="E90" s="197"/>
      <c r="F90" s="198"/>
      <c r="G90" s="198"/>
      <c r="H90" s="198"/>
      <c r="I90" s="199"/>
      <c r="J90" s="198"/>
      <c r="K90" s="198"/>
      <c r="L90" s="198"/>
      <c r="M90" s="198"/>
      <c r="N90" s="198"/>
      <c r="O90" s="198"/>
    </row>
    <row r="91" spans="1:15" x14ac:dyDescent="0.2">
      <c r="A91" s="197"/>
      <c r="B91" s="198"/>
      <c r="C91" s="198"/>
      <c r="D91" s="197"/>
      <c r="E91" s="197"/>
      <c r="F91" s="198"/>
      <c r="G91" s="198"/>
      <c r="H91" s="198"/>
      <c r="I91" s="199"/>
      <c r="J91" s="198"/>
      <c r="K91" s="198"/>
      <c r="L91" s="198"/>
      <c r="M91" s="198"/>
      <c r="N91" s="198"/>
      <c r="O91" s="198"/>
    </row>
    <row r="92" spans="1:15" x14ac:dyDescent="0.2">
      <c r="A92" s="197"/>
      <c r="B92" s="198"/>
      <c r="C92" s="198"/>
      <c r="D92" s="197"/>
      <c r="E92" s="197"/>
      <c r="F92" s="198"/>
      <c r="G92" s="198"/>
      <c r="H92" s="198"/>
      <c r="I92" s="199"/>
      <c r="J92" s="198"/>
      <c r="K92" s="198"/>
      <c r="L92" s="198"/>
      <c r="M92" s="198"/>
      <c r="N92" s="198"/>
      <c r="O92" s="198"/>
    </row>
    <row r="93" spans="1:15" x14ac:dyDescent="0.2">
      <c r="A93" s="197"/>
      <c r="B93" s="198"/>
      <c r="C93" s="198"/>
      <c r="D93" s="197"/>
      <c r="E93" s="197"/>
      <c r="F93" s="198"/>
      <c r="G93" s="198"/>
      <c r="H93" s="198"/>
      <c r="I93" s="199"/>
      <c r="J93" s="198"/>
      <c r="K93" s="198"/>
      <c r="L93" s="198"/>
      <c r="M93" s="198"/>
      <c r="N93" s="198"/>
      <c r="O93" s="198"/>
    </row>
    <row r="94" spans="1:15" x14ac:dyDescent="0.2">
      <c r="A94" s="197"/>
      <c r="B94" s="198"/>
      <c r="C94" s="198"/>
      <c r="D94" s="197"/>
      <c r="E94" s="197"/>
      <c r="F94" s="198"/>
      <c r="G94" s="198"/>
      <c r="H94" s="198"/>
      <c r="I94" s="199"/>
      <c r="J94" s="198"/>
      <c r="K94" s="198"/>
      <c r="L94" s="198"/>
      <c r="M94" s="198"/>
      <c r="N94" s="198"/>
      <c r="O94" s="198"/>
    </row>
    <row r="95" spans="1:15" x14ac:dyDescent="0.2">
      <c r="A95" s="197"/>
      <c r="B95" s="198"/>
      <c r="C95" s="198"/>
      <c r="D95" s="197"/>
      <c r="E95" s="197"/>
      <c r="F95" s="198"/>
      <c r="G95" s="198"/>
      <c r="H95" s="198"/>
      <c r="I95" s="199"/>
      <c r="J95" s="198"/>
      <c r="K95" s="198"/>
      <c r="L95" s="198"/>
      <c r="M95" s="198"/>
      <c r="N95" s="198"/>
      <c r="O95" s="198"/>
    </row>
    <row r="96" spans="1:15" x14ac:dyDescent="0.2">
      <c r="A96" s="197"/>
      <c r="B96" s="198"/>
      <c r="C96" s="198"/>
      <c r="D96" s="197"/>
      <c r="E96" s="197"/>
      <c r="F96" s="198"/>
      <c r="G96" s="198"/>
      <c r="H96" s="198"/>
      <c r="I96" s="199"/>
      <c r="J96" s="198"/>
      <c r="K96" s="198"/>
      <c r="L96" s="198"/>
      <c r="M96" s="198"/>
      <c r="N96" s="198"/>
      <c r="O96" s="198"/>
    </row>
    <row r="97" spans="1:15" x14ac:dyDescent="0.2">
      <c r="A97" s="197"/>
      <c r="B97" s="198"/>
      <c r="C97" s="198"/>
      <c r="D97" s="197"/>
      <c r="E97" s="197"/>
      <c r="F97" s="198"/>
      <c r="G97" s="198"/>
      <c r="H97" s="198"/>
      <c r="I97" s="199"/>
      <c r="J97" s="198"/>
      <c r="K97" s="198"/>
      <c r="L97" s="198"/>
      <c r="M97" s="198"/>
      <c r="N97" s="198"/>
      <c r="O97" s="198"/>
    </row>
    <row r="98" spans="1:15" x14ac:dyDescent="0.2">
      <c r="A98" s="197"/>
      <c r="B98" s="198"/>
      <c r="C98" s="198"/>
      <c r="D98" s="197"/>
      <c r="E98" s="197"/>
      <c r="F98" s="198"/>
      <c r="G98" s="198"/>
      <c r="H98" s="198"/>
      <c r="I98" s="199"/>
      <c r="J98" s="198"/>
      <c r="K98" s="198"/>
      <c r="L98" s="198"/>
      <c r="M98" s="198"/>
      <c r="N98" s="198"/>
      <c r="O98" s="198"/>
    </row>
    <row r="99" spans="1:15" x14ac:dyDescent="0.2">
      <c r="A99" s="197"/>
      <c r="B99" s="198"/>
      <c r="C99" s="198"/>
      <c r="D99" s="197"/>
      <c r="E99" s="197"/>
      <c r="F99" s="198"/>
      <c r="G99" s="198"/>
      <c r="H99" s="198"/>
      <c r="I99" s="199"/>
      <c r="J99" s="198"/>
      <c r="K99" s="198"/>
      <c r="L99" s="198"/>
      <c r="M99" s="198"/>
      <c r="N99" s="198"/>
      <c r="O99" s="198"/>
    </row>
    <row r="100" spans="1:15" x14ac:dyDescent="0.2">
      <c r="A100" s="197"/>
      <c r="B100" s="198"/>
      <c r="C100" s="198"/>
      <c r="D100" s="197"/>
      <c r="E100" s="197"/>
      <c r="F100" s="198"/>
      <c r="G100" s="198"/>
      <c r="H100" s="198"/>
      <c r="I100" s="199"/>
      <c r="J100" s="198"/>
      <c r="K100" s="198"/>
      <c r="L100" s="198"/>
      <c r="M100" s="198"/>
      <c r="N100" s="198"/>
      <c r="O100" s="198"/>
    </row>
    <row r="101" spans="1:15" x14ac:dyDescent="0.2">
      <c r="A101" s="197"/>
      <c r="B101" s="198"/>
      <c r="C101" s="198"/>
      <c r="D101" s="197"/>
      <c r="E101" s="197"/>
      <c r="F101" s="198"/>
      <c r="G101" s="198"/>
      <c r="H101" s="198"/>
      <c r="I101" s="199"/>
      <c r="J101" s="198"/>
      <c r="K101" s="198"/>
      <c r="L101" s="198"/>
      <c r="M101" s="198"/>
      <c r="N101" s="198"/>
      <c r="O101" s="198"/>
    </row>
    <row r="102" spans="1:15" x14ac:dyDescent="0.2">
      <c r="A102" s="197"/>
      <c r="B102" s="198"/>
      <c r="C102" s="198"/>
      <c r="D102" s="197"/>
      <c r="E102" s="197"/>
      <c r="F102" s="198"/>
      <c r="G102" s="198"/>
      <c r="H102" s="198"/>
      <c r="I102" s="199"/>
      <c r="J102" s="198"/>
      <c r="K102" s="198"/>
      <c r="L102" s="198"/>
      <c r="M102" s="198"/>
      <c r="N102" s="198"/>
      <c r="O102" s="198"/>
    </row>
    <row r="103" spans="1:15" x14ac:dyDescent="0.2">
      <c r="A103" s="197"/>
      <c r="B103" s="198"/>
      <c r="C103" s="198"/>
      <c r="D103" s="197"/>
      <c r="E103" s="197"/>
      <c r="F103" s="198"/>
      <c r="G103" s="198"/>
      <c r="H103" s="198"/>
      <c r="I103" s="199"/>
      <c r="J103" s="198"/>
      <c r="K103" s="198"/>
      <c r="L103" s="198"/>
      <c r="M103" s="198"/>
      <c r="N103" s="198"/>
      <c r="O103" s="198"/>
    </row>
    <row r="104" spans="1:15" x14ac:dyDescent="0.2">
      <c r="A104" s="197"/>
      <c r="B104" s="198"/>
      <c r="C104" s="198"/>
      <c r="D104" s="197"/>
      <c r="E104" s="197"/>
      <c r="F104" s="198"/>
      <c r="G104" s="198"/>
      <c r="H104" s="198"/>
      <c r="I104" s="199"/>
      <c r="J104" s="198"/>
      <c r="K104" s="198"/>
      <c r="L104" s="198"/>
      <c r="M104" s="198"/>
      <c r="N104" s="198"/>
      <c r="O104" s="198"/>
    </row>
    <row r="105" spans="1:15" x14ac:dyDescent="0.2">
      <c r="A105" s="197"/>
      <c r="B105" s="198"/>
      <c r="C105" s="198"/>
      <c r="D105" s="197"/>
      <c r="E105" s="197"/>
      <c r="F105" s="198"/>
      <c r="G105" s="198"/>
      <c r="H105" s="198"/>
      <c r="I105" s="199"/>
      <c r="J105" s="198"/>
      <c r="K105" s="198"/>
      <c r="L105" s="198"/>
      <c r="M105" s="198"/>
      <c r="N105" s="198"/>
      <c r="O105" s="198"/>
    </row>
    <row r="106" spans="1:15" x14ac:dyDescent="0.2">
      <c r="A106" s="197"/>
      <c r="B106" s="198"/>
      <c r="C106" s="198"/>
      <c r="D106" s="197"/>
      <c r="E106" s="197"/>
      <c r="F106" s="198"/>
      <c r="G106" s="198"/>
      <c r="H106" s="198"/>
      <c r="I106" s="199"/>
      <c r="J106" s="198"/>
      <c r="K106" s="198"/>
      <c r="L106" s="198"/>
      <c r="M106" s="198"/>
      <c r="N106" s="198"/>
      <c r="O106" s="198"/>
    </row>
    <row r="107" spans="1:15" x14ac:dyDescent="0.2">
      <c r="A107" s="197"/>
      <c r="B107" s="198"/>
      <c r="C107" s="198"/>
      <c r="D107" s="197"/>
      <c r="E107" s="197"/>
      <c r="F107" s="198"/>
      <c r="G107" s="198"/>
      <c r="H107" s="198"/>
      <c r="I107" s="199"/>
      <c r="J107" s="198"/>
      <c r="K107" s="198"/>
      <c r="L107" s="198"/>
      <c r="M107" s="198"/>
      <c r="N107" s="198"/>
      <c r="O107" s="198"/>
    </row>
    <row r="108" spans="1:15" x14ac:dyDescent="0.2">
      <c r="A108" s="197"/>
      <c r="B108" s="198"/>
      <c r="C108" s="198"/>
      <c r="D108" s="197"/>
      <c r="E108" s="197"/>
      <c r="F108" s="198"/>
      <c r="G108" s="198"/>
      <c r="H108" s="198"/>
      <c r="I108" s="199"/>
      <c r="J108" s="198"/>
      <c r="K108" s="198"/>
      <c r="L108" s="198"/>
      <c r="M108" s="198"/>
      <c r="N108" s="198"/>
      <c r="O108" s="198"/>
    </row>
  </sheetData>
  <sortState ref="A7:P27">
    <sortCondition ref="C7:C27"/>
    <sortCondition ref="B7:B27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fitToPage="1"/>
  </sheetPr>
  <dimension ref="A1:T86"/>
  <sheetViews>
    <sheetView topLeftCell="A27" zoomScaleNormal="100" workbookViewId="0">
      <selection activeCell="C17" sqref="C17:C56"/>
    </sheetView>
  </sheetViews>
  <sheetFormatPr defaultRowHeight="15" x14ac:dyDescent="0.25"/>
  <cols>
    <col min="1" max="1" width="3.28515625" style="18" bestFit="1" customWidth="1"/>
    <col min="2" max="2" width="11.7109375" style="18" bestFit="1" customWidth="1"/>
    <col min="3" max="3" width="9.140625" style="18"/>
    <col min="4" max="4" width="14.5703125" style="18" customWidth="1"/>
    <col min="5" max="5" width="17.140625" style="18" customWidth="1"/>
    <col min="6" max="6" width="10.28515625" style="18" customWidth="1"/>
    <col min="7" max="7" width="11.42578125" style="18" customWidth="1"/>
    <col min="8" max="8" width="12.42578125" style="227" customWidth="1"/>
    <col min="9" max="9" width="12.5703125" style="18" customWidth="1"/>
    <col min="10" max="10" width="24.7109375" style="18" customWidth="1"/>
    <col min="11" max="11" width="16.5703125" style="18" customWidth="1"/>
    <col min="12" max="12" width="13" style="18" customWidth="1"/>
    <col min="13" max="13" width="3.85546875" style="252" customWidth="1"/>
    <col min="14" max="15" width="11.42578125" style="18" customWidth="1"/>
    <col min="16" max="16" width="10.7109375" style="18" customWidth="1"/>
    <col min="17" max="17" width="10.5703125" style="18" customWidth="1"/>
    <col min="18" max="18" width="9.140625" style="18"/>
    <col min="19" max="19" width="11.42578125" style="18" customWidth="1"/>
    <col min="20" max="20" width="25.28515625" style="48" customWidth="1"/>
    <col min="21" max="21" width="4" style="18" customWidth="1"/>
    <col min="22" max="16384" width="9.140625" style="18"/>
  </cols>
  <sheetData>
    <row r="1" spans="1:20" ht="15.75" x14ac:dyDescent="0.25">
      <c r="B1" s="58" t="s">
        <v>54</v>
      </c>
      <c r="C1" s="50"/>
      <c r="D1" s="43"/>
      <c r="E1" s="43"/>
      <c r="F1" s="43"/>
      <c r="G1" s="43"/>
      <c r="H1" s="226"/>
      <c r="I1" s="43"/>
      <c r="J1" s="43"/>
      <c r="K1" s="43"/>
    </row>
    <row r="2" spans="1:20" x14ac:dyDescent="0.25">
      <c r="B2" s="43"/>
      <c r="C2" s="50"/>
      <c r="D2" s="43"/>
      <c r="E2" s="43"/>
      <c r="F2" s="43"/>
      <c r="G2" s="43"/>
      <c r="H2" s="226"/>
      <c r="I2" s="43"/>
      <c r="J2" s="43"/>
      <c r="K2" s="43"/>
    </row>
    <row r="3" spans="1:20" x14ac:dyDescent="0.25">
      <c r="B3" s="43" t="s">
        <v>168</v>
      </c>
      <c r="C3" s="49" t="s">
        <v>60</v>
      </c>
      <c r="E3" s="52" t="s">
        <v>67</v>
      </c>
      <c r="F3" s="52" t="s">
        <v>169</v>
      </c>
      <c r="G3" s="43"/>
      <c r="I3" s="43" t="s">
        <v>64</v>
      </c>
      <c r="J3" s="50" t="s">
        <v>56</v>
      </c>
      <c r="L3" s="52" t="s">
        <v>67</v>
      </c>
      <c r="M3" s="253" t="s">
        <v>57</v>
      </c>
      <c r="O3" s="43"/>
    </row>
    <row r="4" spans="1:20" x14ac:dyDescent="0.25">
      <c r="B4" s="43" t="s">
        <v>61</v>
      </c>
      <c r="C4" s="49" t="s">
        <v>53</v>
      </c>
      <c r="E4" s="52" t="s">
        <v>67</v>
      </c>
      <c r="F4" s="52" t="s">
        <v>170</v>
      </c>
      <c r="G4" s="43"/>
      <c r="I4" s="43" t="s">
        <v>65</v>
      </c>
      <c r="J4" s="49" t="s">
        <v>58</v>
      </c>
      <c r="L4" s="52" t="s">
        <v>67</v>
      </c>
      <c r="M4" s="253" t="s">
        <v>173</v>
      </c>
      <c r="O4" s="43"/>
    </row>
    <row r="5" spans="1:20" x14ac:dyDescent="0.25">
      <c r="B5" s="43" t="s">
        <v>62</v>
      </c>
      <c r="C5" s="49" t="s">
        <v>44</v>
      </c>
      <c r="E5" s="52" t="s">
        <v>67</v>
      </c>
      <c r="F5" s="52" t="s">
        <v>171</v>
      </c>
      <c r="G5" s="43"/>
      <c r="I5" s="43" t="s">
        <v>66</v>
      </c>
      <c r="J5" s="51" t="s">
        <v>59</v>
      </c>
      <c r="L5" s="52" t="s">
        <v>67</v>
      </c>
      <c r="M5" s="254" t="s">
        <v>174</v>
      </c>
      <c r="O5" s="52"/>
    </row>
    <row r="6" spans="1:20" x14ac:dyDescent="0.25">
      <c r="B6" s="43" t="s">
        <v>63</v>
      </c>
      <c r="C6" s="49" t="s">
        <v>55</v>
      </c>
      <c r="E6" s="52" t="s">
        <v>67</v>
      </c>
      <c r="F6" s="52" t="s">
        <v>172</v>
      </c>
      <c r="G6" s="43"/>
      <c r="H6" s="226"/>
      <c r="I6" s="43"/>
      <c r="J6" s="43"/>
      <c r="K6" s="43"/>
    </row>
    <row r="7" spans="1:20" ht="15.75" thickBot="1" x14ac:dyDescent="0.3">
      <c r="A7" s="53"/>
      <c r="B7" s="53"/>
      <c r="C7" s="53"/>
      <c r="D7" s="53"/>
      <c r="E7" s="53"/>
      <c r="F7" s="53"/>
      <c r="G7" s="53"/>
      <c r="H7" s="228"/>
      <c r="I7" s="53"/>
      <c r="J7" s="53"/>
      <c r="K7" s="53"/>
      <c r="L7" s="53"/>
      <c r="M7" s="255"/>
      <c r="N7" s="53"/>
      <c r="O7" s="53"/>
      <c r="P7" s="53"/>
      <c r="Q7" s="53"/>
      <c r="R7" s="53"/>
      <c r="S7" s="53"/>
    </row>
    <row r="8" spans="1:20" ht="15.75" thickTop="1" x14ac:dyDescent="0.25">
      <c r="H8" s="226"/>
      <c r="I8" s="43"/>
      <c r="J8" s="43"/>
      <c r="K8" s="43"/>
      <c r="L8" s="43"/>
      <c r="M8" s="253"/>
      <c r="N8" s="43"/>
      <c r="O8" s="43"/>
    </row>
    <row r="9" spans="1:20" ht="18" x14ac:dyDescent="0.25">
      <c r="B9" s="17" t="str">
        <f>+'1-Serie uit 0-lijst'!A1</f>
        <v>MiSeq Exp DL070</v>
      </c>
      <c r="G9" s="19" t="s">
        <v>4</v>
      </c>
    </row>
    <row r="11" spans="1:20" x14ac:dyDescent="0.25">
      <c r="B11" s="21"/>
      <c r="C11" s="6" t="s">
        <v>5</v>
      </c>
      <c r="D11" s="22"/>
      <c r="E11" s="13"/>
      <c r="F11" s="14"/>
      <c r="G11" s="14"/>
      <c r="H11" s="229"/>
      <c r="I11" s="14"/>
      <c r="J11" s="14"/>
      <c r="K11" s="13"/>
    </row>
    <row r="12" spans="1:20" x14ac:dyDescent="0.25">
      <c r="B12" s="23"/>
      <c r="C12" s="4" t="s">
        <v>6</v>
      </c>
      <c r="D12" s="22"/>
      <c r="E12" s="13"/>
      <c r="F12" s="14"/>
      <c r="G12" s="14"/>
      <c r="H12" s="229"/>
      <c r="I12" s="14"/>
      <c r="J12" s="14"/>
      <c r="K12" s="13"/>
    </row>
    <row r="14" spans="1:20" x14ac:dyDescent="0.25">
      <c r="B14" s="15" t="s">
        <v>7</v>
      </c>
      <c r="F14" s="46" t="s">
        <v>47</v>
      </c>
    </row>
    <row r="15" spans="1:20" ht="18.75" thickBot="1" x14ac:dyDescent="0.3">
      <c r="G15" s="19" t="s">
        <v>196</v>
      </c>
      <c r="S15" s="48"/>
      <c r="T15" s="18"/>
    </row>
    <row r="16" spans="1:20" ht="51.75" thickBot="1" x14ac:dyDescent="0.25">
      <c r="B16" s="179" t="s">
        <v>8</v>
      </c>
      <c r="C16" s="180" t="s">
        <v>2</v>
      </c>
      <c r="D16" s="181" t="s">
        <v>9</v>
      </c>
      <c r="E16" s="180" t="s">
        <v>10</v>
      </c>
      <c r="F16" s="182" t="s">
        <v>11</v>
      </c>
      <c r="G16" s="84" t="s">
        <v>48</v>
      </c>
      <c r="H16" s="230" t="s">
        <v>43</v>
      </c>
      <c r="I16" s="76" t="s">
        <v>44</v>
      </c>
      <c r="J16" s="82" t="s">
        <v>218</v>
      </c>
      <c r="K16" s="82" t="s">
        <v>181</v>
      </c>
      <c r="L16" s="83" t="s">
        <v>183</v>
      </c>
      <c r="M16" s="256"/>
      <c r="T16" s="18"/>
    </row>
    <row r="17" spans="1:20" ht="15.75" thickBot="1" x14ac:dyDescent="0.3">
      <c r="A17" s="158">
        <v>1</v>
      </c>
      <c r="B17" s="161" t="str">
        <f>'1-Serie uit 0-lijst'!B7</f>
        <v>17D7796</v>
      </c>
      <c r="C17" s="162" t="s">
        <v>301</v>
      </c>
      <c r="D17" s="163"/>
      <c r="E17" s="162"/>
      <c r="F17" s="164">
        <f>'1-Serie uit 0-lijst'!M7</f>
        <v>688</v>
      </c>
      <c r="G17" s="176">
        <f>+(8000/F17)</f>
        <v>11.627906976744185</v>
      </c>
      <c r="H17" s="239">
        <v>295</v>
      </c>
      <c r="I17" s="245">
        <f>+(4000/H17)</f>
        <v>13.559322033898304</v>
      </c>
      <c r="J17" s="177">
        <f>'1-Serie uit 0-lijst'!I7</f>
        <v>0</v>
      </c>
      <c r="K17" s="177">
        <f t="shared" ref="K17:K30" si="0">+J17-I17</f>
        <v>-13.559322033898304</v>
      </c>
      <c r="L17" s="245">
        <f t="shared" ref="L17:L30" si="1">+(125-I17)</f>
        <v>111.4406779661017</v>
      </c>
      <c r="M17" s="249">
        <v>1</v>
      </c>
      <c r="T17" s="18"/>
    </row>
    <row r="18" spans="1:20" ht="15.75" thickBot="1" x14ac:dyDescent="0.3">
      <c r="A18" s="159">
        <v>2</v>
      </c>
      <c r="B18" s="165" t="str">
        <f>'1-Serie uit 0-lijst'!B8</f>
        <v>17D7859</v>
      </c>
      <c r="C18" s="162" t="s">
        <v>301</v>
      </c>
      <c r="D18" s="147"/>
      <c r="E18" s="146"/>
      <c r="F18" s="166">
        <f>'1-Serie uit 0-lijst'!M8</f>
        <v>688</v>
      </c>
      <c r="G18" s="178">
        <f>+(8000/F18)</f>
        <v>11.627906976744185</v>
      </c>
      <c r="H18" s="231">
        <v>179</v>
      </c>
      <c r="I18" s="246">
        <f t="shared" ref="I18:I30" si="2">+(4000/H18)</f>
        <v>22.346368715083798</v>
      </c>
      <c r="J18" s="71">
        <f>'1-Serie uit 0-lijst'!I8</f>
        <v>40</v>
      </c>
      <c r="K18" s="71">
        <f t="shared" si="0"/>
        <v>17.653631284916202</v>
      </c>
      <c r="L18" s="246">
        <f t="shared" si="1"/>
        <v>102.6536312849162</v>
      </c>
      <c r="M18" s="250">
        <v>2</v>
      </c>
      <c r="T18" s="18"/>
    </row>
    <row r="19" spans="1:20" ht="15.75" thickBot="1" x14ac:dyDescent="0.3">
      <c r="A19" s="159">
        <v>3</v>
      </c>
      <c r="B19" s="165" t="str">
        <f>'1-Serie uit 0-lijst'!B9</f>
        <v>17D7860</v>
      </c>
      <c r="C19" s="162" t="s">
        <v>301</v>
      </c>
      <c r="D19" s="147"/>
      <c r="E19" s="146"/>
      <c r="F19" s="166">
        <f>'1-Serie uit 0-lijst'!M9</f>
        <v>534</v>
      </c>
      <c r="G19" s="178">
        <f t="shared" ref="G19:G30" si="3">+(8000/F19)</f>
        <v>14.9812734082397</v>
      </c>
      <c r="H19" s="231">
        <v>170</v>
      </c>
      <c r="I19" s="246">
        <f t="shared" si="2"/>
        <v>23.529411764705884</v>
      </c>
      <c r="J19" s="71">
        <f>'1-Serie uit 0-lijst'!I9</f>
        <v>44</v>
      </c>
      <c r="K19" s="71">
        <f t="shared" si="0"/>
        <v>20.470588235294116</v>
      </c>
      <c r="L19" s="246">
        <f t="shared" si="1"/>
        <v>101.47058823529412</v>
      </c>
      <c r="M19" s="257">
        <v>3</v>
      </c>
      <c r="T19" s="18"/>
    </row>
    <row r="20" spans="1:20" ht="15.75" thickBot="1" x14ac:dyDescent="0.3">
      <c r="A20" s="159">
        <v>4</v>
      </c>
      <c r="B20" s="167" t="str">
        <f>'1-Serie uit 0-lijst'!B10</f>
        <v>17D7872</v>
      </c>
      <c r="C20" s="162" t="s">
        <v>301</v>
      </c>
      <c r="D20" s="147"/>
      <c r="E20" s="146"/>
      <c r="F20" s="166">
        <f>'1-Serie uit 0-lijst'!M10</f>
        <v>635</v>
      </c>
      <c r="G20" s="178">
        <f t="shared" si="3"/>
        <v>12.598425196850394</v>
      </c>
      <c r="H20" s="232">
        <v>153</v>
      </c>
      <c r="I20" s="246">
        <f t="shared" si="2"/>
        <v>26.143790849673202</v>
      </c>
      <c r="J20" s="71">
        <f>'1-Serie uit 0-lijst'!I10</f>
        <v>41</v>
      </c>
      <c r="K20" s="71">
        <f t="shared" si="0"/>
        <v>14.856209150326798</v>
      </c>
      <c r="L20" s="246">
        <f t="shared" si="1"/>
        <v>98.856209150326805</v>
      </c>
      <c r="M20" s="250">
        <v>4</v>
      </c>
      <c r="T20" s="18"/>
    </row>
    <row r="21" spans="1:20" ht="15.75" thickBot="1" x14ac:dyDescent="0.3">
      <c r="A21" s="159">
        <v>5</v>
      </c>
      <c r="B21" s="165" t="str">
        <f>'1-Serie uit 0-lijst'!B11</f>
        <v>17D7873</v>
      </c>
      <c r="C21" s="162" t="s">
        <v>301</v>
      </c>
      <c r="D21" s="147"/>
      <c r="E21" s="146"/>
      <c r="F21" s="166">
        <f>'1-Serie uit 0-lijst'!M11</f>
        <v>447</v>
      </c>
      <c r="G21" s="178">
        <f t="shared" si="3"/>
        <v>17.897091722595079</v>
      </c>
      <c r="H21" s="231">
        <v>168</v>
      </c>
      <c r="I21" s="246">
        <f t="shared" si="2"/>
        <v>23.80952380952381</v>
      </c>
      <c r="J21" s="71">
        <f>'1-Serie uit 0-lijst'!I11</f>
        <v>48</v>
      </c>
      <c r="K21" s="71">
        <f t="shared" si="0"/>
        <v>24.19047619047619</v>
      </c>
      <c r="L21" s="246">
        <f t="shared" si="1"/>
        <v>101.19047619047619</v>
      </c>
      <c r="M21" s="250">
        <v>5</v>
      </c>
      <c r="T21" s="18"/>
    </row>
    <row r="22" spans="1:20" ht="15.75" thickBot="1" x14ac:dyDescent="0.3">
      <c r="A22" s="159">
        <v>6</v>
      </c>
      <c r="B22" s="165" t="str">
        <f>'1-Serie uit 0-lijst'!B12</f>
        <v>17D7874</v>
      </c>
      <c r="C22" s="162" t="s">
        <v>301</v>
      </c>
      <c r="D22" s="147"/>
      <c r="E22" s="146"/>
      <c r="F22" s="166">
        <f>'1-Serie uit 0-lijst'!M12</f>
        <v>616</v>
      </c>
      <c r="G22" s="178">
        <f t="shared" si="3"/>
        <v>12.987012987012987</v>
      </c>
      <c r="H22" s="232">
        <v>175</v>
      </c>
      <c r="I22" s="246">
        <f t="shared" si="2"/>
        <v>22.857142857142858</v>
      </c>
      <c r="J22" s="71">
        <f>'1-Serie uit 0-lijst'!I12</f>
        <v>42</v>
      </c>
      <c r="K22" s="71">
        <f t="shared" si="0"/>
        <v>19.142857142857142</v>
      </c>
      <c r="L22" s="246">
        <f t="shared" si="1"/>
        <v>102.14285714285714</v>
      </c>
      <c r="M22" s="257">
        <v>6</v>
      </c>
      <c r="T22" s="18"/>
    </row>
    <row r="23" spans="1:20" ht="15.75" thickBot="1" x14ac:dyDescent="0.3">
      <c r="A23" s="159">
        <v>7</v>
      </c>
      <c r="B23" s="165" t="str">
        <f>'1-Serie uit 0-lijst'!B13</f>
        <v>17D7900</v>
      </c>
      <c r="C23" s="162" t="s">
        <v>301</v>
      </c>
      <c r="D23" s="147"/>
      <c r="E23" s="146"/>
      <c r="F23" s="166">
        <f>'1-Serie uit 0-lijst'!M13</f>
        <v>419</v>
      </c>
      <c r="G23" s="178">
        <f t="shared" si="3"/>
        <v>19.093078758949879</v>
      </c>
      <c r="H23" s="231">
        <v>141</v>
      </c>
      <c r="I23" s="246">
        <f t="shared" si="2"/>
        <v>28.368794326241133</v>
      </c>
      <c r="J23" s="71">
        <f>'1-Serie uit 0-lijst'!I13</f>
        <v>49</v>
      </c>
      <c r="K23" s="71">
        <f t="shared" si="0"/>
        <v>20.631205673758867</v>
      </c>
      <c r="L23" s="246">
        <f t="shared" si="1"/>
        <v>96.63120567375887</v>
      </c>
      <c r="M23" s="250">
        <v>7</v>
      </c>
      <c r="T23" s="18"/>
    </row>
    <row r="24" spans="1:20" ht="15.75" thickBot="1" x14ac:dyDescent="0.3">
      <c r="A24" s="159">
        <v>8</v>
      </c>
      <c r="B24" s="165" t="str">
        <f>'1-Serie uit 0-lijst'!B14</f>
        <v>17D7901</v>
      </c>
      <c r="C24" s="162" t="s">
        <v>301</v>
      </c>
      <c r="D24" s="147"/>
      <c r="E24" s="146"/>
      <c r="F24" s="166">
        <f>'1-Serie uit 0-lijst'!M14</f>
        <v>429</v>
      </c>
      <c r="G24" s="178">
        <f t="shared" si="3"/>
        <v>18.648018648018649</v>
      </c>
      <c r="H24" s="231">
        <v>132</v>
      </c>
      <c r="I24" s="247">
        <f t="shared" si="2"/>
        <v>30.303030303030305</v>
      </c>
      <c r="J24" s="71">
        <f>'1-Serie uit 0-lijst'!I14</f>
        <v>49</v>
      </c>
      <c r="K24" s="71">
        <f t="shared" si="0"/>
        <v>18.696969696969695</v>
      </c>
      <c r="L24" s="247">
        <f t="shared" si="1"/>
        <v>94.696969696969688</v>
      </c>
      <c r="M24" s="251">
        <v>8</v>
      </c>
      <c r="T24" s="18"/>
    </row>
    <row r="25" spans="1:20" ht="15.75" thickBot="1" x14ac:dyDescent="0.3">
      <c r="A25" s="159">
        <v>9</v>
      </c>
      <c r="B25" s="165" t="str">
        <f>'1-Serie uit 0-lijst'!B15</f>
        <v>17D7905</v>
      </c>
      <c r="C25" s="162" t="s">
        <v>301</v>
      </c>
      <c r="D25" s="147"/>
      <c r="E25" s="146"/>
      <c r="F25" s="166">
        <f>'1-Serie uit 0-lijst'!M15</f>
        <v>620</v>
      </c>
      <c r="G25" s="178">
        <f t="shared" si="3"/>
        <v>12.903225806451612</v>
      </c>
      <c r="H25" s="231">
        <v>156</v>
      </c>
      <c r="I25" s="245">
        <f t="shared" si="2"/>
        <v>25.641025641025642</v>
      </c>
      <c r="J25" s="71">
        <f>'1-Serie uit 0-lijst'!I15</f>
        <v>42</v>
      </c>
      <c r="K25" s="71">
        <f t="shared" si="0"/>
        <v>16.358974358974358</v>
      </c>
      <c r="L25" s="245">
        <f t="shared" si="1"/>
        <v>99.358974358974365</v>
      </c>
      <c r="M25" s="258">
        <v>9</v>
      </c>
      <c r="O25" s="48"/>
      <c r="T25" s="18"/>
    </row>
    <row r="26" spans="1:20" ht="15.75" thickBot="1" x14ac:dyDescent="0.3">
      <c r="A26" s="159">
        <v>10</v>
      </c>
      <c r="B26" s="168" t="str">
        <f>'1-Serie uit 0-lijst'!B16</f>
        <v>17D7908</v>
      </c>
      <c r="C26" s="162" t="s">
        <v>301</v>
      </c>
      <c r="D26" s="147"/>
      <c r="E26" s="146"/>
      <c r="F26" s="166">
        <f>'1-Serie uit 0-lijst'!M16</f>
        <v>362</v>
      </c>
      <c r="G26" s="178">
        <f t="shared" si="3"/>
        <v>22.099447513812155</v>
      </c>
      <c r="H26" s="231">
        <v>128</v>
      </c>
      <c r="I26" s="246">
        <f t="shared" si="2"/>
        <v>31.25</v>
      </c>
      <c r="J26" s="71">
        <f>'1-Serie uit 0-lijst'!I16</f>
        <v>53</v>
      </c>
      <c r="K26" s="71">
        <f t="shared" si="0"/>
        <v>21.75</v>
      </c>
      <c r="L26" s="246">
        <f t="shared" si="1"/>
        <v>93.75</v>
      </c>
      <c r="M26" s="250">
        <v>10</v>
      </c>
      <c r="O26" s="48"/>
      <c r="T26" s="18"/>
    </row>
    <row r="27" spans="1:20" ht="15.75" thickBot="1" x14ac:dyDescent="0.3">
      <c r="A27" s="159">
        <v>11</v>
      </c>
      <c r="B27" s="169" t="str">
        <f>'1-Serie uit 0-lijst'!B17</f>
        <v>17D7952</v>
      </c>
      <c r="C27" s="162" t="s">
        <v>301</v>
      </c>
      <c r="D27" s="147"/>
      <c r="E27" s="146"/>
      <c r="F27" s="166">
        <f>'1-Serie uit 0-lijst'!M17</f>
        <v>693</v>
      </c>
      <c r="G27" s="178">
        <f t="shared" si="3"/>
        <v>11.544011544011545</v>
      </c>
      <c r="H27" s="231">
        <v>170</v>
      </c>
      <c r="I27" s="246">
        <f t="shared" si="2"/>
        <v>23.529411764705884</v>
      </c>
      <c r="J27" s="71">
        <f>'1-Serie uit 0-lijst'!I17</f>
        <v>40</v>
      </c>
      <c r="K27" s="71">
        <f t="shared" si="0"/>
        <v>16.470588235294116</v>
      </c>
      <c r="L27" s="246">
        <f t="shared" si="1"/>
        <v>101.47058823529412</v>
      </c>
      <c r="M27" s="250">
        <v>11</v>
      </c>
      <c r="O27" s="48"/>
      <c r="T27" s="18"/>
    </row>
    <row r="28" spans="1:20" ht="15.75" thickBot="1" x14ac:dyDescent="0.3">
      <c r="A28" s="159">
        <v>12</v>
      </c>
      <c r="B28" s="168" t="str">
        <f>'1-Serie uit 0-lijst'!B18</f>
        <v>17D7953</v>
      </c>
      <c r="C28" s="162" t="s">
        <v>301</v>
      </c>
      <c r="D28" s="147"/>
      <c r="E28" s="146"/>
      <c r="F28" s="166">
        <f>'1-Serie uit 0-lijst'!M18</f>
        <v>630</v>
      </c>
      <c r="G28" s="178">
        <f t="shared" si="3"/>
        <v>12.698412698412698</v>
      </c>
      <c r="H28" s="231">
        <v>174</v>
      </c>
      <c r="I28" s="246">
        <f t="shared" si="2"/>
        <v>22.988505747126435</v>
      </c>
      <c r="J28" s="71">
        <f>'1-Serie uit 0-lijst'!I18</f>
        <v>41</v>
      </c>
      <c r="K28" s="71">
        <f t="shared" si="0"/>
        <v>18.011494252873565</v>
      </c>
      <c r="L28" s="246">
        <f t="shared" si="1"/>
        <v>102.01149425287356</v>
      </c>
      <c r="M28" s="257">
        <v>12</v>
      </c>
      <c r="O28" s="48"/>
      <c r="T28" s="18"/>
    </row>
    <row r="29" spans="1:20" ht="15.75" thickBot="1" x14ac:dyDescent="0.3">
      <c r="A29" s="159">
        <v>13</v>
      </c>
      <c r="B29" s="168" t="str">
        <f>'1-Serie uit 0-lijst'!B19</f>
        <v>17D7954</v>
      </c>
      <c r="C29" s="162" t="s">
        <v>301</v>
      </c>
      <c r="D29" s="147"/>
      <c r="E29" s="146"/>
      <c r="F29" s="166">
        <f>'1-Serie uit 0-lijst'!M19</f>
        <v>700</v>
      </c>
      <c r="G29" s="178">
        <f t="shared" si="3"/>
        <v>11.428571428571429</v>
      </c>
      <c r="H29" s="231">
        <v>179</v>
      </c>
      <c r="I29" s="246">
        <f t="shared" si="2"/>
        <v>22.346368715083798</v>
      </c>
      <c r="J29" s="71">
        <f>'1-Serie uit 0-lijst'!I19</f>
        <v>40</v>
      </c>
      <c r="K29" s="71">
        <f t="shared" si="0"/>
        <v>17.653631284916202</v>
      </c>
      <c r="L29" s="246">
        <f t="shared" si="1"/>
        <v>102.6536312849162</v>
      </c>
      <c r="M29" s="250">
        <v>13</v>
      </c>
      <c r="O29" s="48"/>
      <c r="T29" s="18"/>
    </row>
    <row r="30" spans="1:20" ht="15.75" thickBot="1" x14ac:dyDescent="0.3">
      <c r="A30" s="159">
        <v>14</v>
      </c>
      <c r="B30" s="168" t="str">
        <f>'1-Serie uit 0-lijst'!B20</f>
        <v>17D7955</v>
      </c>
      <c r="C30" s="162" t="s">
        <v>301</v>
      </c>
      <c r="D30" s="147"/>
      <c r="E30" s="146"/>
      <c r="F30" s="166">
        <f>'1-Serie uit 0-lijst'!M20</f>
        <v>679</v>
      </c>
      <c r="G30" s="178">
        <f t="shared" si="3"/>
        <v>11.782032400589102</v>
      </c>
      <c r="H30" s="231">
        <v>163</v>
      </c>
      <c r="I30" s="246">
        <f t="shared" si="2"/>
        <v>24.539877300613497</v>
      </c>
      <c r="J30" s="71">
        <f>'1-Serie uit 0-lijst'!I20</f>
        <v>40</v>
      </c>
      <c r="K30" s="71">
        <f t="shared" si="0"/>
        <v>15.460122699386503</v>
      </c>
      <c r="L30" s="246">
        <f t="shared" si="1"/>
        <v>100.4601226993865</v>
      </c>
      <c r="M30" s="250">
        <v>14</v>
      </c>
      <c r="O30" s="48"/>
      <c r="T30" s="18"/>
    </row>
    <row r="31" spans="1:20" ht="15.75" thickBot="1" x14ac:dyDescent="0.3">
      <c r="A31" s="159">
        <v>15</v>
      </c>
      <c r="B31" s="200" t="str">
        <f>'1-Serie uit 0-lijst'!B21</f>
        <v>17D7959</v>
      </c>
      <c r="C31" s="162" t="s">
        <v>301</v>
      </c>
      <c r="D31" s="202"/>
      <c r="E31" s="201"/>
      <c r="F31" s="203">
        <f>'1-Serie uit 0-lijst'!M21</f>
        <v>585</v>
      </c>
      <c r="G31" s="204">
        <f t="shared" ref="G31:G76" si="4">+(8000/F31)</f>
        <v>13.675213675213675</v>
      </c>
      <c r="H31" s="233">
        <v>165</v>
      </c>
      <c r="I31" s="246">
        <f t="shared" ref="I31:I76" si="5">+(4000/H31)</f>
        <v>24.242424242424242</v>
      </c>
      <c r="J31" s="205">
        <f>'1-Serie uit 0-lijst'!I21</f>
        <v>43</v>
      </c>
      <c r="K31" s="205">
        <f t="shared" ref="K31:K76" si="6">+J31-I31</f>
        <v>18.757575757575758</v>
      </c>
      <c r="L31" s="246">
        <f t="shared" ref="L31:L76" si="7">+(125-I31)</f>
        <v>100.75757575757575</v>
      </c>
      <c r="M31" s="257">
        <v>15</v>
      </c>
      <c r="O31" s="48"/>
      <c r="T31" s="18"/>
    </row>
    <row r="32" spans="1:20" ht="15.75" thickBot="1" x14ac:dyDescent="0.3">
      <c r="A32" s="159">
        <v>16</v>
      </c>
      <c r="B32" s="200" t="str">
        <f>'1-Serie uit 0-lijst'!B22</f>
        <v>17D7960</v>
      </c>
      <c r="C32" s="162" t="s">
        <v>301</v>
      </c>
      <c r="D32" s="202"/>
      <c r="E32" s="201"/>
      <c r="F32" s="203">
        <f>'1-Serie uit 0-lijst'!M22</f>
        <v>529</v>
      </c>
      <c r="G32" s="204">
        <f t="shared" si="4"/>
        <v>15.122873345935728</v>
      </c>
      <c r="H32" s="233">
        <v>144</v>
      </c>
      <c r="I32" s="247">
        <f t="shared" si="5"/>
        <v>27.777777777777779</v>
      </c>
      <c r="J32" s="205">
        <f>'1-Serie uit 0-lijst'!I22</f>
        <v>44</v>
      </c>
      <c r="K32" s="205">
        <f t="shared" si="6"/>
        <v>16.222222222222221</v>
      </c>
      <c r="L32" s="247">
        <f t="shared" si="7"/>
        <v>97.222222222222229</v>
      </c>
      <c r="M32" s="251">
        <v>16</v>
      </c>
      <c r="O32" s="48"/>
      <c r="T32" s="18"/>
    </row>
    <row r="33" spans="1:20" ht="15.75" thickBot="1" x14ac:dyDescent="0.3">
      <c r="A33" s="159">
        <v>17</v>
      </c>
      <c r="B33" s="200" t="str">
        <f>'1-Serie uit 0-lijst'!B23</f>
        <v>17D8000</v>
      </c>
      <c r="C33" s="162" t="s">
        <v>301</v>
      </c>
      <c r="D33" s="202"/>
      <c r="E33" s="201"/>
      <c r="F33" s="203">
        <f>'1-Serie uit 0-lijst'!M23</f>
        <v>695</v>
      </c>
      <c r="G33" s="204">
        <f t="shared" si="4"/>
        <v>11.510791366906474</v>
      </c>
      <c r="H33" s="233">
        <v>192</v>
      </c>
      <c r="I33" s="245">
        <f t="shared" si="5"/>
        <v>20.833333333333332</v>
      </c>
      <c r="J33" s="205">
        <f>'1-Serie uit 0-lijst'!I23</f>
        <v>40</v>
      </c>
      <c r="K33" s="205">
        <f t="shared" si="6"/>
        <v>19.166666666666668</v>
      </c>
      <c r="L33" s="245">
        <f t="shared" si="7"/>
        <v>104.16666666666667</v>
      </c>
      <c r="M33" s="249">
        <v>17</v>
      </c>
      <c r="O33" s="48"/>
      <c r="T33" s="18"/>
    </row>
    <row r="34" spans="1:20" ht="15.75" thickBot="1" x14ac:dyDescent="0.3">
      <c r="A34" s="159">
        <v>18</v>
      </c>
      <c r="B34" s="200" t="str">
        <f>'1-Serie uit 0-lijst'!B24</f>
        <v>17D8001</v>
      </c>
      <c r="C34" s="162" t="s">
        <v>301</v>
      </c>
      <c r="D34" s="202"/>
      <c r="E34" s="201"/>
      <c r="F34" s="203">
        <f>'1-Serie uit 0-lijst'!M24</f>
        <v>513</v>
      </c>
      <c r="G34" s="204">
        <f t="shared" si="4"/>
        <v>15.594541910331383</v>
      </c>
      <c r="H34" s="233">
        <v>155</v>
      </c>
      <c r="I34" s="246">
        <f t="shared" si="5"/>
        <v>25.806451612903224</v>
      </c>
      <c r="J34" s="205">
        <f>'1-Serie uit 0-lijst'!I24</f>
        <v>45</v>
      </c>
      <c r="K34" s="205">
        <f t="shared" si="6"/>
        <v>19.193548387096776</v>
      </c>
      <c r="L34" s="246">
        <f t="shared" si="7"/>
        <v>99.193548387096769</v>
      </c>
      <c r="M34" s="257">
        <v>18</v>
      </c>
      <c r="O34" s="48"/>
      <c r="T34" s="18"/>
    </row>
    <row r="35" spans="1:20" ht="15.75" thickBot="1" x14ac:dyDescent="0.3">
      <c r="A35" s="159">
        <v>19</v>
      </c>
      <c r="B35" s="200" t="str">
        <f>'1-Serie uit 0-lijst'!B25</f>
        <v>17D8007</v>
      </c>
      <c r="C35" s="162" t="s">
        <v>301</v>
      </c>
      <c r="D35" s="202"/>
      <c r="E35" s="201"/>
      <c r="F35" s="203">
        <f>'1-Serie uit 0-lijst'!M25</f>
        <v>427</v>
      </c>
      <c r="G35" s="204">
        <f t="shared" si="4"/>
        <v>18.735362997658079</v>
      </c>
      <c r="H35" s="233">
        <v>143</v>
      </c>
      <c r="I35" s="246">
        <f t="shared" si="5"/>
        <v>27.972027972027973</v>
      </c>
      <c r="J35" s="205">
        <f>'1-Serie uit 0-lijst'!I25</f>
        <v>49</v>
      </c>
      <c r="K35" s="205">
        <f t="shared" si="6"/>
        <v>21.027972027972027</v>
      </c>
      <c r="L35" s="246">
        <f t="shared" si="7"/>
        <v>97.027972027972027</v>
      </c>
      <c r="M35" s="250">
        <v>19</v>
      </c>
      <c r="O35" s="48"/>
      <c r="T35" s="18"/>
    </row>
    <row r="36" spans="1:20" ht="15.75" thickBot="1" x14ac:dyDescent="0.3">
      <c r="A36" s="159">
        <v>20</v>
      </c>
      <c r="B36" s="200" t="str">
        <f>'1-Serie uit 0-lijst'!B26</f>
        <v>17D8008</v>
      </c>
      <c r="C36" s="162" t="s">
        <v>301</v>
      </c>
      <c r="D36" s="202"/>
      <c r="E36" s="201"/>
      <c r="F36" s="203">
        <f>'1-Serie uit 0-lijst'!M26</f>
        <v>586</v>
      </c>
      <c r="G36" s="204">
        <f t="shared" si="4"/>
        <v>13.651877133105803</v>
      </c>
      <c r="H36" s="233">
        <v>174</v>
      </c>
      <c r="I36" s="246">
        <f t="shared" si="5"/>
        <v>22.988505747126435</v>
      </c>
      <c r="J36" s="205">
        <f>'1-Serie uit 0-lijst'!I26</f>
        <v>43</v>
      </c>
      <c r="K36" s="205">
        <f t="shared" si="6"/>
        <v>20.011494252873565</v>
      </c>
      <c r="L36" s="246">
        <f t="shared" si="7"/>
        <v>102.01149425287356</v>
      </c>
      <c r="M36" s="250">
        <v>20</v>
      </c>
      <c r="O36" s="48"/>
      <c r="T36" s="18"/>
    </row>
    <row r="37" spans="1:20" ht="15.75" thickBot="1" x14ac:dyDescent="0.3">
      <c r="A37" s="159">
        <v>21</v>
      </c>
      <c r="B37" s="200" t="str">
        <f>'1-Serie uit 0-lijst'!B27</f>
        <v>17D8009</v>
      </c>
      <c r="C37" s="162" t="s">
        <v>301</v>
      </c>
      <c r="D37" s="202"/>
      <c r="E37" s="201"/>
      <c r="F37" s="203">
        <f>'1-Serie uit 0-lijst'!M27</f>
        <v>700</v>
      </c>
      <c r="G37" s="204">
        <f t="shared" si="4"/>
        <v>11.428571428571429</v>
      </c>
      <c r="H37" s="233">
        <v>165</v>
      </c>
      <c r="I37" s="246">
        <f t="shared" si="5"/>
        <v>24.242424242424242</v>
      </c>
      <c r="J37" s="205">
        <f>'1-Serie uit 0-lijst'!I27</f>
        <v>40</v>
      </c>
      <c r="K37" s="205">
        <f t="shared" si="6"/>
        <v>15.757575757575758</v>
      </c>
      <c r="L37" s="246">
        <f t="shared" si="7"/>
        <v>100.75757575757575</v>
      </c>
      <c r="M37" s="257">
        <v>21</v>
      </c>
      <c r="O37" s="48"/>
      <c r="T37" s="18"/>
    </row>
    <row r="38" spans="1:20" ht="15.75" thickBot="1" x14ac:dyDescent="0.3">
      <c r="A38" s="159">
        <v>22</v>
      </c>
      <c r="B38" s="200" t="str">
        <f>'1-Serie uit 0-lijst'!B28</f>
        <v>17D8010</v>
      </c>
      <c r="C38" s="162" t="s">
        <v>301</v>
      </c>
      <c r="D38" s="202"/>
      <c r="E38" s="201"/>
      <c r="F38" s="203">
        <f>'1-Serie uit 0-lijst'!M28</f>
        <v>705</v>
      </c>
      <c r="G38" s="204">
        <f t="shared" si="4"/>
        <v>11.347517730496454</v>
      </c>
      <c r="H38" s="233">
        <v>177</v>
      </c>
      <c r="I38" s="246">
        <f t="shared" si="5"/>
        <v>22.598870056497177</v>
      </c>
      <c r="J38" s="205">
        <f>'1-Serie uit 0-lijst'!I28</f>
        <v>40</v>
      </c>
      <c r="K38" s="205">
        <f t="shared" si="6"/>
        <v>17.401129943502823</v>
      </c>
      <c r="L38" s="246">
        <f t="shared" si="7"/>
        <v>102.40112994350282</v>
      </c>
      <c r="M38" s="250">
        <v>22</v>
      </c>
      <c r="O38" s="48"/>
      <c r="T38" s="18"/>
    </row>
    <row r="39" spans="1:20" ht="15.75" thickBot="1" x14ac:dyDescent="0.3">
      <c r="A39" s="159">
        <v>23</v>
      </c>
      <c r="B39" s="200" t="str">
        <f>'1-Serie uit 0-lijst'!B29</f>
        <v>17D8011</v>
      </c>
      <c r="C39" s="162" t="s">
        <v>301</v>
      </c>
      <c r="D39" s="202"/>
      <c r="E39" s="201"/>
      <c r="F39" s="203">
        <f>'1-Serie uit 0-lijst'!M29</f>
        <v>729</v>
      </c>
      <c r="G39" s="204">
        <f t="shared" si="4"/>
        <v>10.973936899862826</v>
      </c>
      <c r="H39" s="233">
        <v>186</v>
      </c>
      <c r="I39" s="246">
        <f t="shared" si="5"/>
        <v>21.50537634408602</v>
      </c>
      <c r="J39" s="205">
        <f>'1-Serie uit 0-lijst'!I29</f>
        <v>39</v>
      </c>
      <c r="K39" s="205">
        <f t="shared" si="6"/>
        <v>17.49462365591398</v>
      </c>
      <c r="L39" s="246">
        <f t="shared" si="7"/>
        <v>103.49462365591398</v>
      </c>
      <c r="M39" s="250">
        <v>23</v>
      </c>
      <c r="O39" s="48"/>
      <c r="T39" s="18"/>
    </row>
    <row r="40" spans="1:20" ht="15.75" thickBot="1" x14ac:dyDescent="0.3">
      <c r="A40" s="159">
        <v>24</v>
      </c>
      <c r="B40" s="200" t="str">
        <f>'1-Serie uit 0-lijst'!B30</f>
        <v>17D8020</v>
      </c>
      <c r="C40" s="162" t="s">
        <v>301</v>
      </c>
      <c r="D40" s="202"/>
      <c r="E40" s="201"/>
      <c r="F40" s="203">
        <f>'1-Serie uit 0-lijst'!M30</f>
        <v>95</v>
      </c>
      <c r="G40" s="204">
        <f t="shared" si="4"/>
        <v>84.21052631578948</v>
      </c>
      <c r="H40" s="233">
        <v>52.7</v>
      </c>
      <c r="I40" s="247">
        <f t="shared" si="5"/>
        <v>75.901328273244772</v>
      </c>
      <c r="J40" s="205">
        <f>'1-Serie uit 0-lijst'!I30</f>
        <v>131</v>
      </c>
      <c r="K40" s="205">
        <f t="shared" si="6"/>
        <v>55.098671726755228</v>
      </c>
      <c r="L40" s="247">
        <f t="shared" si="7"/>
        <v>49.098671726755228</v>
      </c>
      <c r="M40" s="259">
        <v>24</v>
      </c>
      <c r="O40" s="48"/>
      <c r="T40" s="18"/>
    </row>
    <row r="41" spans="1:20" ht="15.75" thickBot="1" x14ac:dyDescent="0.3">
      <c r="A41" s="159">
        <v>25</v>
      </c>
      <c r="B41" s="200" t="str">
        <f>'1-Serie uit 0-lijst'!B31</f>
        <v>17D8022</v>
      </c>
      <c r="C41" s="162" t="s">
        <v>301</v>
      </c>
      <c r="D41" s="202"/>
      <c r="E41" s="201"/>
      <c r="F41" s="203">
        <f>'1-Serie uit 0-lijst'!M31</f>
        <v>78</v>
      </c>
      <c r="G41" s="204">
        <f t="shared" si="4"/>
        <v>102.56410256410257</v>
      </c>
      <c r="H41" s="233">
        <v>44.4</v>
      </c>
      <c r="I41" s="245">
        <f t="shared" si="5"/>
        <v>90.090090090090087</v>
      </c>
      <c r="J41" s="205">
        <f>'1-Serie uit 0-lijst'!I31</f>
        <v>154</v>
      </c>
      <c r="K41" s="205">
        <f t="shared" si="6"/>
        <v>63.909909909909913</v>
      </c>
      <c r="L41" s="245">
        <f t="shared" si="7"/>
        <v>34.909909909909913</v>
      </c>
      <c r="M41" s="249">
        <v>25</v>
      </c>
      <c r="O41" s="48"/>
      <c r="T41" s="18"/>
    </row>
    <row r="42" spans="1:20" ht="15.75" thickBot="1" x14ac:dyDescent="0.3">
      <c r="A42" s="159">
        <v>26</v>
      </c>
      <c r="B42" s="200" t="str">
        <f>'1-Serie uit 0-lijst'!B32</f>
        <v>17D8063</v>
      </c>
      <c r="C42" s="162" t="s">
        <v>301</v>
      </c>
      <c r="D42" s="202"/>
      <c r="E42" s="201"/>
      <c r="F42" s="203">
        <f>'1-Serie uit 0-lijst'!M32</f>
        <v>441</v>
      </c>
      <c r="G42" s="204">
        <f t="shared" si="4"/>
        <v>18.140589569160998</v>
      </c>
      <c r="H42" s="233">
        <v>161</v>
      </c>
      <c r="I42" s="246">
        <f t="shared" si="5"/>
        <v>24.844720496894411</v>
      </c>
      <c r="J42" s="205">
        <f>'1-Serie uit 0-lijst'!I32</f>
        <v>48</v>
      </c>
      <c r="K42" s="205">
        <f t="shared" si="6"/>
        <v>23.155279503105589</v>
      </c>
      <c r="L42" s="246">
        <f t="shared" si="7"/>
        <v>100.15527950310559</v>
      </c>
      <c r="M42" s="250">
        <v>26</v>
      </c>
      <c r="O42" s="48"/>
      <c r="T42" s="18"/>
    </row>
    <row r="43" spans="1:20" ht="15.75" thickBot="1" x14ac:dyDescent="0.3">
      <c r="A43" s="159">
        <v>27</v>
      </c>
      <c r="B43" s="200" t="str">
        <f>'1-Serie uit 0-lijst'!B33</f>
        <v>17D8064</v>
      </c>
      <c r="C43" s="162" t="s">
        <v>301</v>
      </c>
      <c r="D43" s="202"/>
      <c r="E43" s="201"/>
      <c r="F43" s="203">
        <f>'1-Serie uit 0-lijst'!M33</f>
        <v>212</v>
      </c>
      <c r="G43" s="204">
        <f t="shared" si="4"/>
        <v>37.735849056603776</v>
      </c>
      <c r="H43" s="233">
        <v>92.5</v>
      </c>
      <c r="I43" s="246">
        <f t="shared" si="5"/>
        <v>43.243243243243242</v>
      </c>
      <c r="J43" s="205">
        <f>'1-Serie uit 0-lijst'!I33</f>
        <v>73</v>
      </c>
      <c r="K43" s="205">
        <f t="shared" si="6"/>
        <v>29.756756756756758</v>
      </c>
      <c r="L43" s="246">
        <f t="shared" si="7"/>
        <v>81.756756756756758</v>
      </c>
      <c r="M43" s="257">
        <v>27</v>
      </c>
      <c r="O43" s="48"/>
      <c r="T43" s="18"/>
    </row>
    <row r="44" spans="1:20" ht="15.75" thickBot="1" x14ac:dyDescent="0.3">
      <c r="A44" s="159">
        <v>28</v>
      </c>
      <c r="B44" s="200" t="str">
        <f>'1-Serie uit 0-lijst'!B34</f>
        <v>17D8065</v>
      </c>
      <c r="C44" s="162" t="s">
        <v>301</v>
      </c>
      <c r="D44" s="202"/>
      <c r="E44" s="201"/>
      <c r="F44" s="203">
        <f>'1-Serie uit 0-lijst'!M34</f>
        <v>259</v>
      </c>
      <c r="G44" s="204">
        <f t="shared" si="4"/>
        <v>30.888030888030887</v>
      </c>
      <c r="H44" s="233">
        <v>106</v>
      </c>
      <c r="I44" s="246">
        <f t="shared" si="5"/>
        <v>37.735849056603776</v>
      </c>
      <c r="J44" s="205">
        <f>'1-Serie uit 0-lijst'!I34</f>
        <v>64</v>
      </c>
      <c r="K44" s="205">
        <f t="shared" si="6"/>
        <v>26.264150943396224</v>
      </c>
      <c r="L44" s="246">
        <f t="shared" si="7"/>
        <v>87.264150943396231</v>
      </c>
      <c r="M44" s="250">
        <v>28</v>
      </c>
      <c r="O44" s="48"/>
      <c r="T44" s="18"/>
    </row>
    <row r="45" spans="1:20" ht="15.75" thickBot="1" x14ac:dyDescent="0.3">
      <c r="A45" s="159">
        <v>29</v>
      </c>
      <c r="B45" s="200" t="str">
        <f>'1-Serie uit 0-lijst'!B35</f>
        <v>17D8066</v>
      </c>
      <c r="C45" s="162" t="s">
        <v>301</v>
      </c>
      <c r="D45" s="202"/>
      <c r="E45" s="201"/>
      <c r="F45" s="203">
        <f>'1-Serie uit 0-lijst'!M35</f>
        <v>561</v>
      </c>
      <c r="G45" s="204">
        <f t="shared" si="4"/>
        <v>14.260249554367201</v>
      </c>
      <c r="H45" s="233">
        <v>155</v>
      </c>
      <c r="I45" s="246">
        <f t="shared" si="5"/>
        <v>25.806451612903224</v>
      </c>
      <c r="J45" s="205">
        <f>'1-Serie uit 0-lijst'!I35</f>
        <v>43</v>
      </c>
      <c r="K45" s="205">
        <f t="shared" si="6"/>
        <v>17.193548387096776</v>
      </c>
      <c r="L45" s="246">
        <f t="shared" si="7"/>
        <v>99.193548387096769</v>
      </c>
      <c r="M45" s="250">
        <v>29</v>
      </c>
      <c r="O45" s="48"/>
      <c r="T45" s="18"/>
    </row>
    <row r="46" spans="1:20" ht="15.75" thickBot="1" x14ac:dyDescent="0.3">
      <c r="A46" s="159">
        <v>30</v>
      </c>
      <c r="B46" s="200" t="str">
        <f>'1-Serie uit 0-lijst'!B36</f>
        <v>17D8077</v>
      </c>
      <c r="C46" s="162" t="s">
        <v>301</v>
      </c>
      <c r="D46" s="202"/>
      <c r="E46" s="201"/>
      <c r="F46" s="203">
        <f>'1-Serie uit 0-lijst'!M36</f>
        <v>616</v>
      </c>
      <c r="G46" s="204">
        <f t="shared" si="4"/>
        <v>12.987012987012987</v>
      </c>
      <c r="H46" s="233">
        <v>162</v>
      </c>
      <c r="I46" s="246">
        <f t="shared" si="5"/>
        <v>24.691358024691358</v>
      </c>
      <c r="J46" s="205">
        <f>'1-Serie uit 0-lijst'!I36</f>
        <v>42</v>
      </c>
      <c r="K46" s="205">
        <f t="shared" si="6"/>
        <v>17.308641975308642</v>
      </c>
      <c r="L46" s="246">
        <f t="shared" si="7"/>
        <v>100.30864197530865</v>
      </c>
      <c r="M46" s="257">
        <v>30</v>
      </c>
      <c r="O46" s="48"/>
      <c r="T46" s="18"/>
    </row>
    <row r="47" spans="1:20" ht="15.75" thickBot="1" x14ac:dyDescent="0.3">
      <c r="A47" s="159">
        <v>31</v>
      </c>
      <c r="B47" s="200" t="str">
        <f>'1-Serie uit 0-lijst'!B37</f>
        <v>17D8082</v>
      </c>
      <c r="C47" s="162" t="s">
        <v>301</v>
      </c>
      <c r="D47" s="202"/>
      <c r="E47" s="201"/>
      <c r="F47" s="203">
        <f>'1-Serie uit 0-lijst'!M37</f>
        <v>391</v>
      </c>
      <c r="G47" s="204">
        <f t="shared" si="4"/>
        <v>20.460358056265985</v>
      </c>
      <c r="H47" s="233">
        <v>132</v>
      </c>
      <c r="I47" s="246">
        <f t="shared" si="5"/>
        <v>30.303030303030305</v>
      </c>
      <c r="J47" s="205">
        <f>'1-Serie uit 0-lijst'!I37</f>
        <v>51</v>
      </c>
      <c r="K47" s="205">
        <f t="shared" si="6"/>
        <v>20.696969696969695</v>
      </c>
      <c r="L47" s="246">
        <f t="shared" si="7"/>
        <v>94.696969696969688</v>
      </c>
      <c r="M47" s="250">
        <v>31</v>
      </c>
      <c r="O47" s="48"/>
      <c r="T47" s="18"/>
    </row>
    <row r="48" spans="1:20" ht="15.75" thickBot="1" x14ac:dyDescent="0.3">
      <c r="A48" s="159">
        <v>32</v>
      </c>
      <c r="B48" s="200" t="str">
        <f>'1-Serie uit 0-lijst'!B38</f>
        <v>17D8113</v>
      </c>
      <c r="C48" s="162" t="s">
        <v>301</v>
      </c>
      <c r="D48" s="202"/>
      <c r="E48" s="201"/>
      <c r="F48" s="203">
        <f>'1-Serie uit 0-lijst'!M38</f>
        <v>460</v>
      </c>
      <c r="G48" s="204">
        <f t="shared" si="4"/>
        <v>17.391304347826086</v>
      </c>
      <c r="H48" s="233">
        <v>134</v>
      </c>
      <c r="I48" s="247">
        <f t="shared" si="5"/>
        <v>29.850746268656717</v>
      </c>
      <c r="J48" s="205">
        <f>'1-Serie uit 0-lijst'!I38</f>
        <v>47</v>
      </c>
      <c r="K48" s="205">
        <f t="shared" si="6"/>
        <v>17.149253731343283</v>
      </c>
      <c r="L48" s="247">
        <f t="shared" si="7"/>
        <v>95.149253731343279</v>
      </c>
      <c r="M48" s="251">
        <v>32</v>
      </c>
      <c r="O48" s="48"/>
      <c r="T48" s="18"/>
    </row>
    <row r="49" spans="1:20" ht="15.75" thickBot="1" x14ac:dyDescent="0.3">
      <c r="A49" s="159">
        <v>33</v>
      </c>
      <c r="B49" s="200" t="str">
        <f>'1-Serie uit 0-lijst'!B39</f>
        <v>17D8114</v>
      </c>
      <c r="C49" s="162" t="s">
        <v>301</v>
      </c>
      <c r="D49" s="202"/>
      <c r="E49" s="201"/>
      <c r="F49" s="203">
        <f>'1-Serie uit 0-lijst'!M39</f>
        <v>682</v>
      </c>
      <c r="G49" s="204">
        <f t="shared" si="4"/>
        <v>11.730205278592376</v>
      </c>
      <c r="H49" s="233">
        <v>133</v>
      </c>
      <c r="I49" s="245">
        <f t="shared" si="5"/>
        <v>30.075187969924812</v>
      </c>
      <c r="J49" s="205">
        <f>'1-Serie uit 0-lijst'!I39</f>
        <v>40</v>
      </c>
      <c r="K49" s="205">
        <f t="shared" si="6"/>
        <v>9.9248120300751879</v>
      </c>
      <c r="L49" s="245">
        <f t="shared" si="7"/>
        <v>94.924812030075188</v>
      </c>
      <c r="M49" s="258">
        <v>33</v>
      </c>
      <c r="O49" s="48"/>
      <c r="T49" s="18"/>
    </row>
    <row r="50" spans="1:20" ht="15.75" thickBot="1" x14ac:dyDescent="0.3">
      <c r="A50" s="159">
        <v>34</v>
      </c>
      <c r="B50" s="200" t="str">
        <f>'1-Serie uit 0-lijst'!B40</f>
        <v>17D8115</v>
      </c>
      <c r="C50" s="162" t="s">
        <v>301</v>
      </c>
      <c r="D50" s="202"/>
      <c r="E50" s="201"/>
      <c r="F50" s="203">
        <f>'1-Serie uit 0-lijst'!M40</f>
        <v>725</v>
      </c>
      <c r="G50" s="204">
        <f t="shared" si="4"/>
        <v>11.03448275862069</v>
      </c>
      <c r="H50" s="233">
        <v>164</v>
      </c>
      <c r="I50" s="246">
        <f t="shared" si="5"/>
        <v>24.390243902439025</v>
      </c>
      <c r="J50" s="205">
        <f>'1-Serie uit 0-lijst'!I40</f>
        <v>39</v>
      </c>
      <c r="K50" s="205">
        <f t="shared" si="6"/>
        <v>14.609756097560975</v>
      </c>
      <c r="L50" s="246">
        <f t="shared" si="7"/>
        <v>100.60975609756098</v>
      </c>
      <c r="M50" s="250">
        <v>34</v>
      </c>
      <c r="O50" s="48"/>
      <c r="T50" s="18"/>
    </row>
    <row r="51" spans="1:20" ht="15.75" thickBot="1" x14ac:dyDescent="0.3">
      <c r="A51" s="159">
        <v>35</v>
      </c>
      <c r="B51" s="200" t="str">
        <f>'1-Serie uit 0-lijst'!B41</f>
        <v>17D8117</v>
      </c>
      <c r="C51" s="162" t="s">
        <v>301</v>
      </c>
      <c r="D51" s="202"/>
      <c r="E51" s="201"/>
      <c r="F51" s="203">
        <f>'1-Serie uit 0-lijst'!M41</f>
        <v>381</v>
      </c>
      <c r="G51" s="204">
        <f t="shared" si="4"/>
        <v>20.99737532808399</v>
      </c>
      <c r="H51" s="233">
        <v>139</v>
      </c>
      <c r="I51" s="246">
        <f t="shared" si="5"/>
        <v>28.776978417266186</v>
      </c>
      <c r="J51" s="205">
        <f>'1-Serie uit 0-lijst'!I41</f>
        <v>52</v>
      </c>
      <c r="K51" s="205">
        <f t="shared" si="6"/>
        <v>23.223021582733814</v>
      </c>
      <c r="L51" s="246">
        <f t="shared" si="7"/>
        <v>96.223021582733821</v>
      </c>
      <c r="M51" s="250">
        <v>35</v>
      </c>
      <c r="O51" s="48"/>
      <c r="T51" s="18"/>
    </row>
    <row r="52" spans="1:20" ht="15.75" thickBot="1" x14ac:dyDescent="0.3">
      <c r="A52" s="159">
        <v>36</v>
      </c>
      <c r="B52" s="200" t="str">
        <f>'1-Serie uit 0-lijst'!B42</f>
        <v>17D8127</v>
      </c>
      <c r="C52" s="162" t="s">
        <v>301</v>
      </c>
      <c r="D52" s="202"/>
      <c r="E52" s="201"/>
      <c r="F52" s="203">
        <f>'1-Serie uit 0-lijst'!M42</f>
        <v>278</v>
      </c>
      <c r="G52" s="204">
        <f t="shared" si="4"/>
        <v>28.776978417266186</v>
      </c>
      <c r="H52" s="233">
        <v>99.6</v>
      </c>
      <c r="I52" s="246">
        <f t="shared" si="5"/>
        <v>40.160642570281126</v>
      </c>
      <c r="J52" s="205">
        <f>'1-Serie uit 0-lijst'!I42</f>
        <v>61</v>
      </c>
      <c r="K52" s="205">
        <f t="shared" si="6"/>
        <v>20.839357429718874</v>
      </c>
      <c r="L52" s="246">
        <f t="shared" si="7"/>
        <v>84.839357429718874</v>
      </c>
      <c r="M52" s="257">
        <v>36</v>
      </c>
      <c r="O52" s="48"/>
      <c r="T52" s="18"/>
    </row>
    <row r="53" spans="1:20" ht="15.75" thickBot="1" x14ac:dyDescent="0.3">
      <c r="A53" s="159">
        <v>37</v>
      </c>
      <c r="B53" s="200" t="str">
        <f>'1-Serie uit 0-lijst'!B43</f>
        <v>17D8130</v>
      </c>
      <c r="C53" s="162" t="s">
        <v>301</v>
      </c>
      <c r="D53" s="202"/>
      <c r="E53" s="201"/>
      <c r="F53" s="203">
        <f>'1-Serie uit 0-lijst'!M43</f>
        <v>652</v>
      </c>
      <c r="G53" s="204">
        <f t="shared" si="4"/>
        <v>12.269938650306749</v>
      </c>
      <c r="H53" s="233">
        <v>158</v>
      </c>
      <c r="I53" s="246">
        <f t="shared" si="5"/>
        <v>25.316455696202532</v>
      </c>
      <c r="J53" s="205">
        <f>'1-Serie uit 0-lijst'!I43</f>
        <v>41</v>
      </c>
      <c r="K53" s="205">
        <f t="shared" si="6"/>
        <v>15.683544303797468</v>
      </c>
      <c r="L53" s="246">
        <f t="shared" si="7"/>
        <v>99.683544303797476</v>
      </c>
      <c r="M53" s="250">
        <v>37</v>
      </c>
      <c r="O53" s="48"/>
      <c r="T53" s="18"/>
    </row>
    <row r="54" spans="1:20" ht="15.75" thickBot="1" x14ac:dyDescent="0.3">
      <c r="A54" s="159">
        <v>38</v>
      </c>
      <c r="B54" s="200" t="str">
        <f>'1-Serie uit 0-lijst'!B44</f>
        <v>17D8131</v>
      </c>
      <c r="C54" s="162" t="s">
        <v>301</v>
      </c>
      <c r="D54" s="202"/>
      <c r="E54" s="201"/>
      <c r="F54" s="203">
        <f>'1-Serie uit 0-lijst'!M44</f>
        <v>647</v>
      </c>
      <c r="G54" s="204">
        <f t="shared" si="4"/>
        <v>12.364760432766616</v>
      </c>
      <c r="H54" s="233">
        <v>184</v>
      </c>
      <c r="I54" s="246">
        <f t="shared" si="5"/>
        <v>21.739130434782609</v>
      </c>
      <c r="J54" s="205">
        <f>'1-Serie uit 0-lijst'!I44</f>
        <v>41</v>
      </c>
      <c r="K54" s="205">
        <f t="shared" si="6"/>
        <v>19.260869565217391</v>
      </c>
      <c r="L54" s="246">
        <f t="shared" si="7"/>
        <v>103.26086956521739</v>
      </c>
      <c r="M54" s="250">
        <v>38</v>
      </c>
      <c r="O54" s="48"/>
      <c r="T54" s="18"/>
    </row>
    <row r="55" spans="1:20" ht="15.75" thickBot="1" x14ac:dyDescent="0.3">
      <c r="A55" s="159">
        <v>39</v>
      </c>
      <c r="B55" s="200" t="str">
        <f>'1-Serie uit 0-lijst'!B45</f>
        <v>17D8181</v>
      </c>
      <c r="C55" s="162" t="s">
        <v>301</v>
      </c>
      <c r="D55" s="202"/>
      <c r="E55" s="201"/>
      <c r="F55" s="203">
        <f>'1-Serie uit 0-lijst'!M45</f>
        <v>702</v>
      </c>
      <c r="G55" s="204">
        <f t="shared" si="4"/>
        <v>11.396011396011396</v>
      </c>
      <c r="H55" s="233">
        <v>180</v>
      </c>
      <c r="I55" s="246">
        <f t="shared" si="5"/>
        <v>22.222222222222221</v>
      </c>
      <c r="J55" s="205">
        <f>'1-Serie uit 0-lijst'!I45</f>
        <v>40</v>
      </c>
      <c r="K55" s="205">
        <f t="shared" si="6"/>
        <v>17.777777777777779</v>
      </c>
      <c r="L55" s="246">
        <f t="shared" si="7"/>
        <v>102.77777777777777</v>
      </c>
      <c r="M55" s="257">
        <v>39</v>
      </c>
      <c r="O55" s="48"/>
      <c r="T55" s="18"/>
    </row>
    <row r="56" spans="1:20" ht="15.75" thickBot="1" x14ac:dyDescent="0.3">
      <c r="A56" s="159">
        <v>40</v>
      </c>
      <c r="B56" s="200" t="str">
        <f>'1-Serie uit 0-lijst'!B46</f>
        <v>17D8188</v>
      </c>
      <c r="C56" s="162" t="s">
        <v>301</v>
      </c>
      <c r="D56" s="202"/>
      <c r="E56" s="201"/>
      <c r="F56" s="203">
        <f>'1-Serie uit 0-lijst'!M46</f>
        <v>428</v>
      </c>
      <c r="G56" s="204">
        <f t="shared" si="4"/>
        <v>18.691588785046729</v>
      </c>
      <c r="H56" s="233">
        <v>137</v>
      </c>
      <c r="I56" s="247">
        <f t="shared" si="5"/>
        <v>29.197080291970803</v>
      </c>
      <c r="J56" s="205">
        <f>'1-Serie uit 0-lijst'!I46</f>
        <v>49</v>
      </c>
      <c r="K56" s="205">
        <f t="shared" si="6"/>
        <v>19.802919708029197</v>
      </c>
      <c r="L56" s="247">
        <f t="shared" si="7"/>
        <v>95.802919708029194</v>
      </c>
      <c r="M56" s="251">
        <v>40</v>
      </c>
      <c r="O56" s="48"/>
      <c r="T56" s="18"/>
    </row>
    <row r="57" spans="1:20" x14ac:dyDescent="0.25">
      <c r="A57" s="159">
        <v>41</v>
      </c>
      <c r="B57" s="200">
        <f>'1-Serie uit 0-lijst'!B47</f>
        <v>0</v>
      </c>
      <c r="C57" s="201">
        <f>'1-Serie uit 0-lijst'!C47</f>
        <v>0</v>
      </c>
      <c r="D57" s="202"/>
      <c r="E57" s="201">
        <f>'1-Serie uit 0-lijst'!F47</f>
        <v>0</v>
      </c>
      <c r="F57" s="203">
        <f>'1-Serie uit 0-lijst'!M47</f>
        <v>0</v>
      </c>
      <c r="G57" s="204" t="e">
        <f t="shared" si="4"/>
        <v>#DIV/0!</v>
      </c>
      <c r="H57" s="233">
        <f>'1-Serie uit 0-lijst'!K47</f>
        <v>0</v>
      </c>
      <c r="I57" s="245" t="e">
        <f t="shared" si="5"/>
        <v>#DIV/0!</v>
      </c>
      <c r="J57" s="205">
        <f>'1-Serie uit 0-lijst'!I47</f>
        <v>0</v>
      </c>
      <c r="K57" s="205" t="e">
        <f t="shared" si="6"/>
        <v>#DIV/0!</v>
      </c>
      <c r="L57" s="245" t="e">
        <f t="shared" si="7"/>
        <v>#DIV/0!</v>
      </c>
      <c r="O57" s="48"/>
      <c r="T57" s="18"/>
    </row>
    <row r="58" spans="1:20" x14ac:dyDescent="0.25">
      <c r="A58" s="159">
        <v>42</v>
      </c>
      <c r="B58" s="200">
        <f>'1-Serie uit 0-lijst'!B48</f>
        <v>0</v>
      </c>
      <c r="C58" s="201">
        <f>'1-Serie uit 0-lijst'!C48</f>
        <v>0</v>
      </c>
      <c r="D58" s="202"/>
      <c r="E58" s="201">
        <f>'1-Serie uit 0-lijst'!F48</f>
        <v>0</v>
      </c>
      <c r="F58" s="203">
        <f>'1-Serie uit 0-lijst'!M48</f>
        <v>0</v>
      </c>
      <c r="G58" s="204" t="e">
        <f t="shared" si="4"/>
        <v>#DIV/0!</v>
      </c>
      <c r="H58" s="233">
        <f>'1-Serie uit 0-lijst'!K48</f>
        <v>0</v>
      </c>
      <c r="I58" s="246" t="e">
        <f t="shared" si="5"/>
        <v>#DIV/0!</v>
      </c>
      <c r="J58" s="205">
        <f>'1-Serie uit 0-lijst'!I48</f>
        <v>0</v>
      </c>
      <c r="K58" s="205" t="e">
        <f t="shared" si="6"/>
        <v>#DIV/0!</v>
      </c>
      <c r="L58" s="246" t="e">
        <f t="shared" si="7"/>
        <v>#DIV/0!</v>
      </c>
      <c r="O58" s="48"/>
      <c r="T58" s="18"/>
    </row>
    <row r="59" spans="1:20" x14ac:dyDescent="0.25">
      <c r="A59" s="159">
        <v>43</v>
      </c>
      <c r="B59" s="200">
        <f>'1-Serie uit 0-lijst'!B49</f>
        <v>0</v>
      </c>
      <c r="C59" s="201">
        <f>'1-Serie uit 0-lijst'!C49</f>
        <v>0</v>
      </c>
      <c r="D59" s="202"/>
      <c r="E59" s="201">
        <f>'1-Serie uit 0-lijst'!F49</f>
        <v>0</v>
      </c>
      <c r="F59" s="203">
        <f>'1-Serie uit 0-lijst'!M49</f>
        <v>0</v>
      </c>
      <c r="G59" s="204" t="e">
        <f t="shared" si="4"/>
        <v>#DIV/0!</v>
      </c>
      <c r="H59" s="233">
        <f>'1-Serie uit 0-lijst'!K49</f>
        <v>0</v>
      </c>
      <c r="I59" s="246" t="e">
        <f t="shared" si="5"/>
        <v>#DIV/0!</v>
      </c>
      <c r="J59" s="205">
        <f>'1-Serie uit 0-lijst'!I49</f>
        <v>0</v>
      </c>
      <c r="K59" s="205" t="e">
        <f t="shared" si="6"/>
        <v>#DIV/0!</v>
      </c>
      <c r="L59" s="246" t="e">
        <f t="shared" si="7"/>
        <v>#DIV/0!</v>
      </c>
      <c r="O59" s="48"/>
      <c r="T59" s="18"/>
    </row>
    <row r="60" spans="1:20" x14ac:dyDescent="0.25">
      <c r="A60" s="159">
        <v>44</v>
      </c>
      <c r="B60" s="200">
        <f>'1-Serie uit 0-lijst'!B50</f>
        <v>0</v>
      </c>
      <c r="C60" s="201">
        <f>'1-Serie uit 0-lijst'!C50</f>
        <v>0</v>
      </c>
      <c r="D60" s="202"/>
      <c r="E60" s="201">
        <f>'1-Serie uit 0-lijst'!F50</f>
        <v>0</v>
      </c>
      <c r="F60" s="203">
        <f>'1-Serie uit 0-lijst'!M50</f>
        <v>0</v>
      </c>
      <c r="G60" s="204" t="e">
        <f t="shared" si="4"/>
        <v>#DIV/0!</v>
      </c>
      <c r="H60" s="233">
        <f>'1-Serie uit 0-lijst'!K50</f>
        <v>0</v>
      </c>
      <c r="I60" s="246" t="e">
        <f t="shared" si="5"/>
        <v>#DIV/0!</v>
      </c>
      <c r="J60" s="205">
        <f>'1-Serie uit 0-lijst'!I50</f>
        <v>0</v>
      </c>
      <c r="K60" s="205" t="e">
        <f t="shared" si="6"/>
        <v>#DIV/0!</v>
      </c>
      <c r="L60" s="246" t="e">
        <f t="shared" si="7"/>
        <v>#DIV/0!</v>
      </c>
      <c r="O60" s="48"/>
      <c r="T60" s="18"/>
    </row>
    <row r="61" spans="1:20" x14ac:dyDescent="0.25">
      <c r="A61" s="159">
        <v>45</v>
      </c>
      <c r="B61" s="200">
        <f>'1-Serie uit 0-lijst'!B51</f>
        <v>0</v>
      </c>
      <c r="C61" s="201">
        <f>'1-Serie uit 0-lijst'!C51</f>
        <v>0</v>
      </c>
      <c r="D61" s="202"/>
      <c r="E61" s="201">
        <f>'1-Serie uit 0-lijst'!F51</f>
        <v>0</v>
      </c>
      <c r="F61" s="203">
        <f>'1-Serie uit 0-lijst'!M51</f>
        <v>0</v>
      </c>
      <c r="G61" s="204" t="e">
        <f t="shared" si="4"/>
        <v>#DIV/0!</v>
      </c>
      <c r="H61" s="233">
        <f>'1-Serie uit 0-lijst'!K51</f>
        <v>0</v>
      </c>
      <c r="I61" s="246" t="e">
        <f t="shared" si="5"/>
        <v>#DIV/0!</v>
      </c>
      <c r="J61" s="205">
        <f>'1-Serie uit 0-lijst'!I51</f>
        <v>0</v>
      </c>
      <c r="K61" s="205" t="e">
        <f t="shared" si="6"/>
        <v>#DIV/0!</v>
      </c>
      <c r="L61" s="246" t="e">
        <f t="shared" si="7"/>
        <v>#DIV/0!</v>
      </c>
      <c r="O61" s="48"/>
      <c r="T61" s="18"/>
    </row>
    <row r="62" spans="1:20" x14ac:dyDescent="0.25">
      <c r="A62" s="159">
        <v>46</v>
      </c>
      <c r="B62" s="200">
        <f>'1-Serie uit 0-lijst'!B52</f>
        <v>0</v>
      </c>
      <c r="C62" s="201">
        <f>'1-Serie uit 0-lijst'!C52</f>
        <v>0</v>
      </c>
      <c r="D62" s="202"/>
      <c r="E62" s="201">
        <f>'1-Serie uit 0-lijst'!F52</f>
        <v>0</v>
      </c>
      <c r="F62" s="203">
        <f>'1-Serie uit 0-lijst'!M52</f>
        <v>0</v>
      </c>
      <c r="G62" s="204" t="e">
        <f t="shared" si="4"/>
        <v>#DIV/0!</v>
      </c>
      <c r="H62" s="233">
        <f>'1-Serie uit 0-lijst'!K52</f>
        <v>0</v>
      </c>
      <c r="I62" s="246" t="e">
        <f t="shared" si="5"/>
        <v>#DIV/0!</v>
      </c>
      <c r="J62" s="205">
        <f>'1-Serie uit 0-lijst'!I52</f>
        <v>0</v>
      </c>
      <c r="K62" s="205" t="e">
        <f t="shared" si="6"/>
        <v>#DIV/0!</v>
      </c>
      <c r="L62" s="246" t="e">
        <f t="shared" si="7"/>
        <v>#DIV/0!</v>
      </c>
      <c r="O62" s="48"/>
      <c r="T62" s="18"/>
    </row>
    <row r="63" spans="1:20" x14ac:dyDescent="0.25">
      <c r="A63" s="159">
        <v>47</v>
      </c>
      <c r="B63" s="200">
        <f>'1-Serie uit 0-lijst'!B53</f>
        <v>0</v>
      </c>
      <c r="C63" s="201">
        <f>'1-Serie uit 0-lijst'!C53</f>
        <v>0</v>
      </c>
      <c r="D63" s="202"/>
      <c r="E63" s="201">
        <f>'1-Serie uit 0-lijst'!F53</f>
        <v>0</v>
      </c>
      <c r="F63" s="203">
        <f>'1-Serie uit 0-lijst'!M53</f>
        <v>0</v>
      </c>
      <c r="G63" s="204" t="e">
        <f t="shared" si="4"/>
        <v>#DIV/0!</v>
      </c>
      <c r="H63" s="233">
        <f>'1-Serie uit 0-lijst'!K53</f>
        <v>0</v>
      </c>
      <c r="I63" s="246" t="e">
        <f t="shared" si="5"/>
        <v>#DIV/0!</v>
      </c>
      <c r="J63" s="205">
        <f>'1-Serie uit 0-lijst'!I53</f>
        <v>0</v>
      </c>
      <c r="K63" s="205" t="e">
        <f t="shared" si="6"/>
        <v>#DIV/0!</v>
      </c>
      <c r="L63" s="246" t="e">
        <f t="shared" si="7"/>
        <v>#DIV/0!</v>
      </c>
      <c r="O63" s="48"/>
      <c r="T63" s="18"/>
    </row>
    <row r="64" spans="1:20" ht="15.75" thickBot="1" x14ac:dyDescent="0.3">
      <c r="A64" s="159">
        <v>48</v>
      </c>
      <c r="B64" s="200">
        <f>'1-Serie uit 0-lijst'!B54</f>
        <v>0</v>
      </c>
      <c r="C64" s="201">
        <f>'1-Serie uit 0-lijst'!C54</f>
        <v>0</v>
      </c>
      <c r="D64" s="202"/>
      <c r="E64" s="201">
        <f>'1-Serie uit 0-lijst'!F54</f>
        <v>0</v>
      </c>
      <c r="F64" s="203">
        <f>'1-Serie uit 0-lijst'!M54</f>
        <v>0</v>
      </c>
      <c r="G64" s="204" t="e">
        <f t="shared" si="4"/>
        <v>#DIV/0!</v>
      </c>
      <c r="H64" s="233">
        <f>'1-Serie uit 0-lijst'!K54</f>
        <v>0</v>
      </c>
      <c r="I64" s="247" t="e">
        <f t="shared" si="5"/>
        <v>#DIV/0!</v>
      </c>
      <c r="J64" s="205">
        <f>'1-Serie uit 0-lijst'!I54</f>
        <v>0</v>
      </c>
      <c r="K64" s="205" t="e">
        <f t="shared" si="6"/>
        <v>#DIV/0!</v>
      </c>
      <c r="L64" s="247" t="e">
        <f t="shared" si="7"/>
        <v>#DIV/0!</v>
      </c>
      <c r="O64" s="48"/>
      <c r="T64" s="18"/>
    </row>
    <row r="65" spans="1:20" x14ac:dyDescent="0.25">
      <c r="A65" s="159">
        <v>49</v>
      </c>
      <c r="B65" s="200">
        <f>'1-Serie uit 0-lijst'!B55</f>
        <v>0</v>
      </c>
      <c r="C65" s="201">
        <f>'1-Serie uit 0-lijst'!C55</f>
        <v>0</v>
      </c>
      <c r="D65" s="202"/>
      <c r="E65" s="201">
        <f>'1-Serie uit 0-lijst'!F55</f>
        <v>0</v>
      </c>
      <c r="F65" s="203">
        <f>'1-Serie uit 0-lijst'!M55</f>
        <v>0</v>
      </c>
      <c r="G65" s="204" t="e">
        <f t="shared" si="4"/>
        <v>#DIV/0!</v>
      </c>
      <c r="H65" s="233">
        <f>'1-Serie uit 0-lijst'!K55</f>
        <v>0</v>
      </c>
      <c r="I65" s="245" t="e">
        <f t="shared" si="5"/>
        <v>#DIV/0!</v>
      </c>
      <c r="J65" s="205">
        <f>'1-Serie uit 0-lijst'!I55</f>
        <v>0</v>
      </c>
      <c r="K65" s="205" t="e">
        <f t="shared" si="6"/>
        <v>#DIV/0!</v>
      </c>
      <c r="L65" s="245" t="e">
        <f t="shared" si="7"/>
        <v>#DIV/0!</v>
      </c>
      <c r="O65" s="48"/>
      <c r="T65" s="18"/>
    </row>
    <row r="66" spans="1:20" x14ac:dyDescent="0.25">
      <c r="A66" s="159">
        <v>50</v>
      </c>
      <c r="B66" s="200">
        <f>'1-Serie uit 0-lijst'!B56</f>
        <v>0</v>
      </c>
      <c r="C66" s="201">
        <f>'1-Serie uit 0-lijst'!C56</f>
        <v>0</v>
      </c>
      <c r="D66" s="202"/>
      <c r="E66" s="201">
        <f>'1-Serie uit 0-lijst'!F56</f>
        <v>0</v>
      </c>
      <c r="F66" s="203">
        <f>'1-Serie uit 0-lijst'!M56</f>
        <v>0</v>
      </c>
      <c r="G66" s="204" t="e">
        <f t="shared" si="4"/>
        <v>#DIV/0!</v>
      </c>
      <c r="H66" s="233">
        <f>'1-Serie uit 0-lijst'!K56</f>
        <v>0</v>
      </c>
      <c r="I66" s="246" t="e">
        <f t="shared" si="5"/>
        <v>#DIV/0!</v>
      </c>
      <c r="J66" s="205">
        <f>'1-Serie uit 0-lijst'!I56</f>
        <v>0</v>
      </c>
      <c r="K66" s="205" t="e">
        <f t="shared" si="6"/>
        <v>#DIV/0!</v>
      </c>
      <c r="L66" s="246" t="e">
        <f t="shared" si="7"/>
        <v>#DIV/0!</v>
      </c>
      <c r="O66" s="48"/>
      <c r="T66" s="18"/>
    </row>
    <row r="67" spans="1:20" x14ac:dyDescent="0.25">
      <c r="A67" s="159">
        <v>51</v>
      </c>
      <c r="B67" s="168">
        <f>'1-Serie uit 0-lijst'!B57</f>
        <v>0</v>
      </c>
      <c r="C67" s="146">
        <f>'1-Serie uit 0-lijst'!C57</f>
        <v>0</v>
      </c>
      <c r="D67" s="147"/>
      <c r="E67" s="146">
        <f>'1-Serie uit 0-lijst'!F57</f>
        <v>0</v>
      </c>
      <c r="F67" s="166">
        <f>'1-Serie uit 0-lijst'!M57</f>
        <v>0</v>
      </c>
      <c r="G67" s="178" t="e">
        <f t="shared" si="4"/>
        <v>#DIV/0!</v>
      </c>
      <c r="H67" s="231">
        <f>'1-Serie uit 0-lijst'!K57</f>
        <v>0</v>
      </c>
      <c r="I67" s="246" t="e">
        <f t="shared" si="5"/>
        <v>#DIV/0!</v>
      </c>
      <c r="J67" s="71">
        <f>'1-Serie uit 0-lijst'!I57</f>
        <v>0</v>
      </c>
      <c r="K67" s="71" t="e">
        <f t="shared" si="6"/>
        <v>#DIV/0!</v>
      </c>
      <c r="L67" s="246" t="e">
        <f t="shared" si="7"/>
        <v>#DIV/0!</v>
      </c>
      <c r="O67" s="48"/>
      <c r="T67" s="18"/>
    </row>
    <row r="68" spans="1:20" x14ac:dyDescent="0.25">
      <c r="A68" s="159">
        <v>52</v>
      </c>
      <c r="B68" s="165">
        <f>'1-Serie uit 0-lijst'!B58</f>
        <v>0</v>
      </c>
      <c r="C68" s="146">
        <f>'1-Serie uit 0-lijst'!C58</f>
        <v>0</v>
      </c>
      <c r="D68" s="147"/>
      <c r="E68" s="146">
        <f>'1-Serie uit 0-lijst'!F58</f>
        <v>0</v>
      </c>
      <c r="F68" s="166">
        <f>'1-Serie uit 0-lijst'!M58</f>
        <v>0</v>
      </c>
      <c r="G68" s="178" t="e">
        <f t="shared" si="4"/>
        <v>#DIV/0!</v>
      </c>
      <c r="H68" s="231">
        <f>'1-Serie uit 0-lijst'!K58</f>
        <v>0</v>
      </c>
      <c r="I68" s="246" t="e">
        <f t="shared" si="5"/>
        <v>#DIV/0!</v>
      </c>
      <c r="J68" s="71">
        <f>'1-Serie uit 0-lijst'!I58</f>
        <v>0</v>
      </c>
      <c r="K68" s="71" t="e">
        <f t="shared" si="6"/>
        <v>#DIV/0!</v>
      </c>
      <c r="L68" s="246" t="e">
        <f t="shared" si="7"/>
        <v>#DIV/0!</v>
      </c>
      <c r="O68" s="48"/>
      <c r="T68" s="18"/>
    </row>
    <row r="69" spans="1:20" x14ac:dyDescent="0.25">
      <c r="A69" s="159">
        <v>53</v>
      </c>
      <c r="B69" s="165">
        <f>'1-Serie uit 0-lijst'!B59</f>
        <v>0</v>
      </c>
      <c r="C69" s="146">
        <f>'1-Serie uit 0-lijst'!C59</f>
        <v>0</v>
      </c>
      <c r="D69" s="147"/>
      <c r="E69" s="146">
        <f>'1-Serie uit 0-lijst'!F59</f>
        <v>0</v>
      </c>
      <c r="F69" s="166">
        <f>'1-Serie uit 0-lijst'!M59</f>
        <v>0</v>
      </c>
      <c r="G69" s="178" t="e">
        <f t="shared" si="4"/>
        <v>#DIV/0!</v>
      </c>
      <c r="H69" s="231">
        <f>'1-Serie uit 0-lijst'!K59</f>
        <v>0</v>
      </c>
      <c r="I69" s="246" t="e">
        <f t="shared" si="5"/>
        <v>#DIV/0!</v>
      </c>
      <c r="J69" s="71">
        <f>'1-Serie uit 0-lijst'!I59</f>
        <v>0</v>
      </c>
      <c r="K69" s="71" t="e">
        <f t="shared" si="6"/>
        <v>#DIV/0!</v>
      </c>
      <c r="L69" s="246" t="e">
        <f t="shared" si="7"/>
        <v>#DIV/0!</v>
      </c>
      <c r="O69" s="48"/>
      <c r="T69" s="18"/>
    </row>
    <row r="70" spans="1:20" x14ac:dyDescent="0.25">
      <c r="A70" s="159">
        <v>54</v>
      </c>
      <c r="B70" s="165">
        <f>'1-Serie uit 0-lijst'!B60</f>
        <v>0</v>
      </c>
      <c r="C70" s="128">
        <f>'1-Serie uit 0-lijst'!C60</f>
        <v>0</v>
      </c>
      <c r="D70" s="129"/>
      <c r="E70" s="146">
        <f>'1-Serie uit 0-lijst'!F60</f>
        <v>0</v>
      </c>
      <c r="F70" s="166">
        <f>'1-Serie uit 0-lijst'!M60</f>
        <v>0</v>
      </c>
      <c r="G70" s="178" t="e">
        <f t="shared" si="4"/>
        <v>#DIV/0!</v>
      </c>
      <c r="H70" s="231">
        <f>'1-Serie uit 0-lijst'!K60</f>
        <v>0</v>
      </c>
      <c r="I70" s="246" t="e">
        <f t="shared" si="5"/>
        <v>#DIV/0!</v>
      </c>
      <c r="J70" s="71">
        <f>'1-Serie uit 0-lijst'!I60</f>
        <v>0</v>
      </c>
      <c r="K70" s="71" t="e">
        <f t="shared" si="6"/>
        <v>#DIV/0!</v>
      </c>
      <c r="L70" s="246" t="e">
        <f t="shared" si="7"/>
        <v>#DIV/0!</v>
      </c>
      <c r="O70" s="48"/>
      <c r="T70" s="18"/>
    </row>
    <row r="71" spans="1:20" x14ac:dyDescent="0.25">
      <c r="A71" s="159">
        <v>55</v>
      </c>
      <c r="B71" s="165">
        <f>'1-Serie uit 0-lijst'!B61</f>
        <v>0</v>
      </c>
      <c r="C71" s="128">
        <f>'1-Serie uit 0-lijst'!C61</f>
        <v>0</v>
      </c>
      <c r="D71" s="129"/>
      <c r="E71" s="146">
        <f>'1-Serie uit 0-lijst'!F61</f>
        <v>0</v>
      </c>
      <c r="F71" s="166">
        <f>'1-Serie uit 0-lijst'!M61</f>
        <v>0</v>
      </c>
      <c r="G71" s="178" t="e">
        <f t="shared" si="4"/>
        <v>#DIV/0!</v>
      </c>
      <c r="H71" s="231">
        <f>'1-Serie uit 0-lijst'!K61</f>
        <v>0</v>
      </c>
      <c r="I71" s="246" t="e">
        <f t="shared" si="5"/>
        <v>#DIV/0!</v>
      </c>
      <c r="J71" s="71">
        <f>'1-Serie uit 0-lijst'!I61</f>
        <v>0</v>
      </c>
      <c r="K71" s="71" t="e">
        <f t="shared" si="6"/>
        <v>#DIV/0!</v>
      </c>
      <c r="L71" s="246" t="e">
        <f t="shared" si="7"/>
        <v>#DIV/0!</v>
      </c>
      <c r="O71" s="48"/>
      <c r="T71" s="18"/>
    </row>
    <row r="72" spans="1:20" ht="15.75" thickBot="1" x14ac:dyDescent="0.3">
      <c r="A72" s="159">
        <v>56</v>
      </c>
      <c r="B72" s="170">
        <f>'1-Serie uit 0-lijst'!B62</f>
        <v>0</v>
      </c>
      <c r="C72" s="130">
        <f>'1-Serie uit 0-lijst'!C62</f>
        <v>0</v>
      </c>
      <c r="D72" s="131"/>
      <c r="E72" s="146">
        <f>'1-Serie uit 0-lijst'!F62</f>
        <v>0</v>
      </c>
      <c r="F72" s="171">
        <f>'1-Serie uit 0-lijst'!M62</f>
        <v>0</v>
      </c>
      <c r="G72" s="178" t="e">
        <f t="shared" si="4"/>
        <v>#DIV/0!</v>
      </c>
      <c r="H72" s="231">
        <f>'1-Serie uit 0-lijst'!K62</f>
        <v>0</v>
      </c>
      <c r="I72" s="247" t="e">
        <f t="shared" si="5"/>
        <v>#DIV/0!</v>
      </c>
      <c r="J72" s="71">
        <f>'1-Serie uit 0-lijst'!I62</f>
        <v>0</v>
      </c>
      <c r="K72" s="71" t="e">
        <f t="shared" si="6"/>
        <v>#DIV/0!</v>
      </c>
      <c r="L72" s="247" t="e">
        <f t="shared" si="7"/>
        <v>#DIV/0!</v>
      </c>
      <c r="O72" s="48"/>
      <c r="T72" s="18"/>
    </row>
    <row r="73" spans="1:20" x14ac:dyDescent="0.25">
      <c r="A73" s="159">
        <v>57</v>
      </c>
      <c r="B73" s="170">
        <f>'1-Serie uit 0-lijst'!B63</f>
        <v>0</v>
      </c>
      <c r="C73" s="130">
        <f>'1-Serie uit 0-lijst'!C63</f>
        <v>0</v>
      </c>
      <c r="D73" s="131"/>
      <c r="E73" s="146">
        <f>'1-Serie uit 0-lijst'!F63</f>
        <v>0</v>
      </c>
      <c r="F73" s="171">
        <f>'1-Serie uit 0-lijst'!M63</f>
        <v>0</v>
      </c>
      <c r="G73" s="178" t="e">
        <f t="shared" si="4"/>
        <v>#DIV/0!</v>
      </c>
      <c r="H73" s="231">
        <f>'1-Serie uit 0-lijst'!K63</f>
        <v>0</v>
      </c>
      <c r="I73" s="244" t="e">
        <f t="shared" si="5"/>
        <v>#DIV/0!</v>
      </c>
      <c r="J73" s="71">
        <f>'1-Serie uit 0-lijst'!I63</f>
        <v>0</v>
      </c>
      <c r="K73" s="71" t="e">
        <f t="shared" si="6"/>
        <v>#DIV/0!</v>
      </c>
      <c r="L73" s="248" t="e">
        <f t="shared" si="7"/>
        <v>#DIV/0!</v>
      </c>
      <c r="O73" s="48"/>
      <c r="T73" s="18"/>
    </row>
    <row r="74" spans="1:20" x14ac:dyDescent="0.25">
      <c r="A74" s="159">
        <v>58</v>
      </c>
      <c r="B74" s="170">
        <f>'1-Serie uit 0-lijst'!B64</f>
        <v>0</v>
      </c>
      <c r="C74" s="130">
        <f>'1-Serie uit 0-lijst'!C64</f>
        <v>0</v>
      </c>
      <c r="D74" s="131"/>
      <c r="E74" s="146">
        <f>'1-Serie uit 0-lijst'!F64</f>
        <v>0</v>
      </c>
      <c r="F74" s="171">
        <f>'1-Serie uit 0-lijst'!M64</f>
        <v>0</v>
      </c>
      <c r="G74" s="178" t="e">
        <f t="shared" si="4"/>
        <v>#DIV/0!</v>
      </c>
      <c r="H74" s="231">
        <f>'1-Serie uit 0-lijst'!K64</f>
        <v>0</v>
      </c>
      <c r="I74" s="240" t="e">
        <f t="shared" si="5"/>
        <v>#DIV/0!</v>
      </c>
      <c r="J74" s="71">
        <f>'1-Serie uit 0-lijst'!I64</f>
        <v>0</v>
      </c>
      <c r="K74" s="71" t="e">
        <f t="shared" si="6"/>
        <v>#DIV/0!</v>
      </c>
      <c r="L74" s="242" t="e">
        <f t="shared" si="7"/>
        <v>#DIV/0!</v>
      </c>
      <c r="O74" s="48"/>
      <c r="T74" s="18"/>
    </row>
    <row r="75" spans="1:20" x14ac:dyDescent="0.25">
      <c r="A75" s="159">
        <v>59</v>
      </c>
      <c r="B75" s="167">
        <f>'1-Serie uit 0-lijst'!B65</f>
        <v>0</v>
      </c>
      <c r="C75" s="146">
        <f>'1-Serie uit 0-lijst'!C65</f>
        <v>0</v>
      </c>
      <c r="D75" s="147"/>
      <c r="E75" s="146">
        <f>'1-Serie uit 0-lijst'!F65</f>
        <v>0</v>
      </c>
      <c r="F75" s="166">
        <f>'1-Serie uit 0-lijst'!M65</f>
        <v>0</v>
      </c>
      <c r="G75" s="178" t="e">
        <f t="shared" si="4"/>
        <v>#DIV/0!</v>
      </c>
      <c r="H75" s="231">
        <f>'1-Serie uit 0-lijst'!K65</f>
        <v>0</v>
      </c>
      <c r="I75" s="240" t="e">
        <f t="shared" si="5"/>
        <v>#DIV/0!</v>
      </c>
      <c r="J75" s="71">
        <f>'1-Serie uit 0-lijst'!I65</f>
        <v>0</v>
      </c>
      <c r="K75" s="71" t="e">
        <f t="shared" si="6"/>
        <v>#DIV/0!</v>
      </c>
      <c r="L75" s="242" t="e">
        <f t="shared" si="7"/>
        <v>#DIV/0!</v>
      </c>
      <c r="O75" s="48"/>
      <c r="T75" s="18"/>
    </row>
    <row r="76" spans="1:20" ht="15.75" thickBot="1" x14ac:dyDescent="0.3">
      <c r="A76" s="160">
        <v>60</v>
      </c>
      <c r="B76" s="172">
        <f>'1-Serie uit 0-lijst'!B66</f>
        <v>0</v>
      </c>
      <c r="C76" s="173">
        <f>'1-Serie uit 0-lijst'!C66</f>
        <v>0</v>
      </c>
      <c r="D76" s="174"/>
      <c r="E76" s="173">
        <f>'1-Serie uit 0-lijst'!F66</f>
        <v>0</v>
      </c>
      <c r="F76" s="175">
        <f>'1-Serie uit 0-lijst'!M66</f>
        <v>0</v>
      </c>
      <c r="G76" s="187" t="e">
        <f t="shared" si="4"/>
        <v>#DIV/0!</v>
      </c>
      <c r="H76" s="234">
        <f>'1-Serie uit 0-lijst'!K66</f>
        <v>0</v>
      </c>
      <c r="I76" s="241" t="e">
        <f t="shared" si="5"/>
        <v>#DIV/0!</v>
      </c>
      <c r="J76" s="188">
        <f>'1-Serie uit 0-lijst'!I66</f>
        <v>0</v>
      </c>
      <c r="K76" s="188" t="e">
        <f t="shared" si="6"/>
        <v>#DIV/0!</v>
      </c>
      <c r="L76" s="243" t="e">
        <f t="shared" si="7"/>
        <v>#DIV/0!</v>
      </c>
    </row>
    <row r="77" spans="1:20" x14ac:dyDescent="0.25">
      <c r="A77" s="55"/>
      <c r="B77" s="149"/>
      <c r="C77" s="150"/>
      <c r="D77" s="150"/>
      <c r="E77" s="150"/>
      <c r="F77" s="150"/>
      <c r="G77" s="42"/>
      <c r="H77" s="235"/>
      <c r="I77" s="148"/>
      <c r="J77" s="148"/>
      <c r="K77" s="148"/>
      <c r="L77" s="148"/>
    </row>
    <row r="78" spans="1:20" ht="18.75" thickBot="1" x14ac:dyDescent="0.3">
      <c r="G78" s="19" t="s">
        <v>192</v>
      </c>
    </row>
    <row r="79" spans="1:20" ht="52.5" thickBot="1" x14ac:dyDescent="0.3">
      <c r="B79" s="85" t="s">
        <v>8</v>
      </c>
      <c r="C79" s="86" t="s">
        <v>2</v>
      </c>
      <c r="D79" s="86" t="s">
        <v>9</v>
      </c>
      <c r="E79" s="86" t="s">
        <v>10</v>
      </c>
      <c r="F79" s="75" t="s">
        <v>11</v>
      </c>
      <c r="G79" s="84" t="s">
        <v>53</v>
      </c>
      <c r="H79" s="230" t="s">
        <v>43</v>
      </c>
      <c r="I79" s="76" t="s">
        <v>49</v>
      </c>
      <c r="J79" s="82" t="s">
        <v>180</v>
      </c>
      <c r="K79" s="82" t="s">
        <v>182</v>
      </c>
      <c r="L79" s="83" t="s">
        <v>184</v>
      </c>
      <c r="O79" s="48"/>
      <c r="T79" s="18"/>
    </row>
    <row r="80" spans="1:20" x14ac:dyDescent="0.25">
      <c r="A80" s="72">
        <v>1</v>
      </c>
      <c r="B80" s="115" t="str">
        <f>+'1-Serie uit 0-lijst'!B32</f>
        <v>17D8063</v>
      </c>
      <c r="C80" s="114">
        <f>+'1-Serie uit 0-lijst'!C32</f>
        <v>0</v>
      </c>
      <c r="D80" s="114"/>
      <c r="E80" s="114"/>
      <c r="F80" s="116"/>
      <c r="G80" s="77" t="e">
        <f>+(4000/F80)</f>
        <v>#DIV/0!</v>
      </c>
      <c r="H80" s="236"/>
      <c r="I80" s="78" t="e">
        <f>+(2000/H80)</f>
        <v>#DIV/0!</v>
      </c>
      <c r="J80" s="78" t="e">
        <f>+(10+G80)-2</f>
        <v>#DIV/0!</v>
      </c>
      <c r="K80" s="78" t="e">
        <f>+J80-I80</f>
        <v>#DIV/0!</v>
      </c>
      <c r="L80" s="80" t="e">
        <f>125-I80</f>
        <v>#DIV/0!</v>
      </c>
      <c r="O80" s="48"/>
      <c r="T80" s="18"/>
    </row>
    <row r="81" spans="1:20" x14ac:dyDescent="0.25">
      <c r="A81" s="73">
        <v>2</v>
      </c>
      <c r="B81" s="115" t="str">
        <f>+'1-Serie uit 0-lijst'!B33</f>
        <v>17D8064</v>
      </c>
      <c r="C81" s="114">
        <f>+'1-Serie uit 0-lijst'!C33</f>
        <v>0</v>
      </c>
      <c r="D81" s="114"/>
      <c r="E81" s="114"/>
      <c r="F81" s="116"/>
      <c r="G81" s="79" t="e">
        <f t="shared" ref="G81:G85" si="8">+(4000/F81)</f>
        <v>#DIV/0!</v>
      </c>
      <c r="H81" s="237"/>
      <c r="I81" s="71" t="e">
        <f t="shared" ref="I81:I85" si="9">+(2000/H81)</f>
        <v>#DIV/0!</v>
      </c>
      <c r="J81" s="71" t="e">
        <f t="shared" ref="J81:J85" si="10">+(10+G81)-2</f>
        <v>#DIV/0!</v>
      </c>
      <c r="K81" s="71" t="e">
        <f t="shared" ref="K81:K85" si="11">+J81-I81</f>
        <v>#DIV/0!</v>
      </c>
      <c r="L81" s="81" t="e">
        <f t="shared" ref="L81:L85" si="12">125-I81</f>
        <v>#DIV/0!</v>
      </c>
      <c r="P81" s="48"/>
      <c r="T81" s="18"/>
    </row>
    <row r="82" spans="1:20" x14ac:dyDescent="0.25">
      <c r="A82" s="73">
        <v>3</v>
      </c>
      <c r="B82" s="115" t="str">
        <f>+'1-Serie uit 0-lijst'!B34</f>
        <v>17D8065</v>
      </c>
      <c r="C82" s="114">
        <f>+'1-Serie uit 0-lijst'!C34</f>
        <v>0</v>
      </c>
      <c r="D82" s="114"/>
      <c r="E82" s="114"/>
      <c r="F82" s="116"/>
      <c r="G82" s="79" t="e">
        <f t="shared" si="8"/>
        <v>#DIV/0!</v>
      </c>
      <c r="H82" s="237"/>
      <c r="I82" s="71" t="e">
        <f t="shared" si="9"/>
        <v>#DIV/0!</v>
      </c>
      <c r="J82" s="71" t="e">
        <f t="shared" si="10"/>
        <v>#DIV/0!</v>
      </c>
      <c r="K82" s="71" t="e">
        <f t="shared" si="11"/>
        <v>#DIV/0!</v>
      </c>
      <c r="L82" s="81" t="e">
        <f t="shared" si="12"/>
        <v>#DIV/0!</v>
      </c>
      <c r="Q82" s="48"/>
      <c r="T82" s="18"/>
    </row>
    <row r="83" spans="1:20" x14ac:dyDescent="0.25">
      <c r="A83" s="73">
        <v>4</v>
      </c>
      <c r="B83" s="115" t="str">
        <f>+'1-Serie uit 0-lijst'!B36</f>
        <v>17D8077</v>
      </c>
      <c r="C83" s="114">
        <f>+'1-Serie uit 0-lijst'!C36</f>
        <v>0</v>
      </c>
      <c r="D83" s="114"/>
      <c r="E83" s="114"/>
      <c r="F83" s="116"/>
      <c r="G83" s="79" t="e">
        <f t="shared" si="8"/>
        <v>#DIV/0!</v>
      </c>
      <c r="H83" s="237"/>
      <c r="I83" s="71" t="e">
        <f t="shared" si="9"/>
        <v>#DIV/0!</v>
      </c>
      <c r="J83" s="71" t="e">
        <f t="shared" si="10"/>
        <v>#DIV/0!</v>
      </c>
      <c r="K83" s="71" t="e">
        <f t="shared" si="11"/>
        <v>#DIV/0!</v>
      </c>
      <c r="L83" s="81" t="e">
        <f t="shared" si="12"/>
        <v>#DIV/0!</v>
      </c>
      <c r="Q83" s="48"/>
      <c r="T83" s="18"/>
    </row>
    <row r="84" spans="1:20" x14ac:dyDescent="0.25">
      <c r="A84" s="73">
        <v>5</v>
      </c>
      <c r="B84" s="115" t="str">
        <f>+'1-Serie uit 0-lijst'!B37</f>
        <v>17D8082</v>
      </c>
      <c r="C84" s="114">
        <f>+'1-Serie uit 0-lijst'!C37</f>
        <v>0</v>
      </c>
      <c r="D84" s="114"/>
      <c r="E84" s="114"/>
      <c r="F84" s="116"/>
      <c r="G84" s="79" t="e">
        <f t="shared" si="8"/>
        <v>#DIV/0!</v>
      </c>
      <c r="H84" s="237"/>
      <c r="I84" s="71" t="e">
        <f t="shared" si="9"/>
        <v>#DIV/0!</v>
      </c>
      <c r="J84" s="71" t="e">
        <f t="shared" si="10"/>
        <v>#DIV/0!</v>
      </c>
      <c r="K84" s="71" t="e">
        <f t="shared" si="11"/>
        <v>#DIV/0!</v>
      </c>
      <c r="L84" s="81" t="e">
        <f t="shared" si="12"/>
        <v>#DIV/0!</v>
      </c>
      <c r="Q84" s="48"/>
      <c r="T84" s="18"/>
    </row>
    <row r="85" spans="1:20" x14ac:dyDescent="0.25">
      <c r="A85" s="73">
        <v>6</v>
      </c>
      <c r="B85" s="115" t="str">
        <f>+'1-Serie uit 0-lijst'!B38</f>
        <v>17D8113</v>
      </c>
      <c r="C85" s="114">
        <f>+'1-Serie uit 0-lijst'!C38</f>
        <v>0</v>
      </c>
      <c r="D85" s="114"/>
      <c r="E85" s="114"/>
      <c r="F85" s="116"/>
      <c r="G85" s="79" t="e">
        <f t="shared" si="8"/>
        <v>#DIV/0!</v>
      </c>
      <c r="H85" s="237"/>
      <c r="I85" s="71" t="e">
        <f t="shared" si="9"/>
        <v>#DIV/0!</v>
      </c>
      <c r="J85" s="71" t="e">
        <f t="shared" si="10"/>
        <v>#DIV/0!</v>
      </c>
      <c r="K85" s="71" t="e">
        <f t="shared" si="11"/>
        <v>#DIV/0!</v>
      </c>
      <c r="L85" s="81" t="e">
        <f t="shared" si="12"/>
        <v>#DIV/0!</v>
      </c>
      <c r="R85" s="48"/>
      <c r="T85" s="18"/>
    </row>
    <row r="86" spans="1:20" ht="15.75" thickBot="1" x14ac:dyDescent="0.3">
      <c r="A86" s="74">
        <v>7</v>
      </c>
      <c r="B86" s="132" t="str">
        <f>+'1-Serie uit 0-lijst'!B39</f>
        <v>17D8114</v>
      </c>
      <c r="C86" s="133">
        <f>+'1-Serie uit 0-lijst'!C39</f>
        <v>0</v>
      </c>
      <c r="D86" s="133"/>
      <c r="E86" s="133"/>
      <c r="F86" s="134"/>
      <c r="G86" s="111" t="e">
        <f t="shared" ref="G86" si="13">+(4000/F86)</f>
        <v>#DIV/0!</v>
      </c>
      <c r="H86" s="238"/>
      <c r="I86" s="113" t="e">
        <f t="shared" ref="I86" si="14">+(2000/H86)</f>
        <v>#DIV/0!</v>
      </c>
      <c r="J86" s="113" t="e">
        <f t="shared" ref="J86" si="15">+(10+G86)-2</f>
        <v>#DIV/0!</v>
      </c>
      <c r="K86" s="113" t="e">
        <f t="shared" ref="K86" si="16">+J86-I86</f>
        <v>#DIV/0!</v>
      </c>
      <c r="L86" s="112" t="e">
        <f t="shared" ref="L86" si="17">125-I86</f>
        <v>#DIV/0!</v>
      </c>
    </row>
  </sheetData>
  <pageMargins left="0.7" right="0.7" top="0.75" bottom="0.75" header="0.3" footer="0.3"/>
  <pageSetup paperSize="9" scale="47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63"/>
  <sheetViews>
    <sheetView workbookViewId="0">
      <selection activeCell="C4" sqref="C4:C43"/>
    </sheetView>
  </sheetViews>
  <sheetFormatPr defaultRowHeight="14.25" x14ac:dyDescent="0.2"/>
  <cols>
    <col min="1" max="1" width="12.7109375" style="18" bestFit="1" customWidth="1"/>
    <col min="2" max="2" width="13.42578125" style="18" customWidth="1"/>
    <col min="3" max="3" width="11.5703125" style="18" customWidth="1"/>
    <col min="4" max="16384" width="9.140625" style="18"/>
  </cols>
  <sheetData>
    <row r="1" spans="1:3" ht="18" x14ac:dyDescent="0.25">
      <c r="A1" s="17" t="str">
        <f>+'1-Serie uit 0-lijst'!A1</f>
        <v>MiSeq Exp DL070</v>
      </c>
      <c r="C1" s="19" t="s">
        <v>205</v>
      </c>
    </row>
    <row r="3" spans="1:3" ht="15" x14ac:dyDescent="0.25">
      <c r="A3" s="17" t="s">
        <v>204</v>
      </c>
      <c r="B3" s="17" t="s">
        <v>12</v>
      </c>
      <c r="C3" s="17" t="s">
        <v>2</v>
      </c>
    </row>
    <row r="4" spans="1:3" x14ac:dyDescent="0.2">
      <c r="A4" s="20">
        <v>1</v>
      </c>
      <c r="B4" s="59" t="str">
        <f>+'1-Serie uit 0-lijst'!B7</f>
        <v>17D7796</v>
      </c>
      <c r="C4" s="60" t="s">
        <v>301</v>
      </c>
    </row>
    <row r="5" spans="1:3" x14ac:dyDescent="0.2">
      <c r="A5" s="20">
        <v>2</v>
      </c>
      <c r="B5" s="59" t="str">
        <f>+'1-Serie uit 0-lijst'!B8</f>
        <v>17D7859</v>
      </c>
      <c r="C5" s="60" t="s">
        <v>301</v>
      </c>
    </row>
    <row r="6" spans="1:3" x14ac:dyDescent="0.2">
      <c r="A6" s="20">
        <v>3</v>
      </c>
      <c r="B6" s="59" t="str">
        <f>+'1-Serie uit 0-lijst'!B9</f>
        <v>17D7860</v>
      </c>
      <c r="C6" s="60" t="s">
        <v>301</v>
      </c>
    </row>
    <row r="7" spans="1:3" x14ac:dyDescent="0.2">
      <c r="A7" s="20">
        <v>4</v>
      </c>
      <c r="B7" s="59" t="str">
        <f>+'1-Serie uit 0-lijst'!B10</f>
        <v>17D7872</v>
      </c>
      <c r="C7" s="60" t="s">
        <v>301</v>
      </c>
    </row>
    <row r="8" spans="1:3" x14ac:dyDescent="0.2">
      <c r="A8" s="20">
        <v>5</v>
      </c>
      <c r="B8" s="59" t="str">
        <f>+'1-Serie uit 0-lijst'!B11</f>
        <v>17D7873</v>
      </c>
      <c r="C8" s="60" t="s">
        <v>301</v>
      </c>
    </row>
    <row r="9" spans="1:3" x14ac:dyDescent="0.2">
      <c r="A9" s="20">
        <v>6</v>
      </c>
      <c r="B9" s="59" t="str">
        <f>+'1-Serie uit 0-lijst'!B12</f>
        <v>17D7874</v>
      </c>
      <c r="C9" s="60" t="s">
        <v>301</v>
      </c>
    </row>
    <row r="10" spans="1:3" x14ac:dyDescent="0.2">
      <c r="A10" s="20">
        <v>7</v>
      </c>
      <c r="B10" s="59" t="str">
        <f>+'1-Serie uit 0-lijst'!B13</f>
        <v>17D7900</v>
      </c>
      <c r="C10" s="60" t="s">
        <v>301</v>
      </c>
    </row>
    <row r="11" spans="1:3" x14ac:dyDescent="0.2">
      <c r="A11" s="20">
        <v>8</v>
      </c>
      <c r="B11" s="59" t="str">
        <f>+'1-Serie uit 0-lijst'!B14</f>
        <v>17D7901</v>
      </c>
      <c r="C11" s="60" t="s">
        <v>301</v>
      </c>
    </row>
    <row r="12" spans="1:3" x14ac:dyDescent="0.2">
      <c r="A12" s="20">
        <v>9</v>
      </c>
      <c r="B12" s="59" t="str">
        <f>+'1-Serie uit 0-lijst'!B15</f>
        <v>17D7905</v>
      </c>
      <c r="C12" s="60" t="s">
        <v>301</v>
      </c>
    </row>
    <row r="13" spans="1:3" x14ac:dyDescent="0.2">
      <c r="A13" s="20">
        <v>10</v>
      </c>
      <c r="B13" s="59" t="str">
        <f>+'1-Serie uit 0-lijst'!B16</f>
        <v>17D7908</v>
      </c>
      <c r="C13" s="60" t="s">
        <v>301</v>
      </c>
    </row>
    <row r="14" spans="1:3" x14ac:dyDescent="0.2">
      <c r="A14" s="20">
        <v>11</v>
      </c>
      <c r="B14" s="59" t="str">
        <f>+'1-Serie uit 0-lijst'!B17</f>
        <v>17D7952</v>
      </c>
      <c r="C14" s="60" t="s">
        <v>301</v>
      </c>
    </row>
    <row r="15" spans="1:3" x14ac:dyDescent="0.2">
      <c r="A15" s="20">
        <v>12</v>
      </c>
      <c r="B15" s="59" t="str">
        <f>+'1-Serie uit 0-lijst'!B18</f>
        <v>17D7953</v>
      </c>
      <c r="C15" s="60" t="s">
        <v>301</v>
      </c>
    </row>
    <row r="16" spans="1:3" x14ac:dyDescent="0.2">
      <c r="A16" s="20">
        <v>13</v>
      </c>
      <c r="B16" s="59" t="str">
        <f>+'1-Serie uit 0-lijst'!B19</f>
        <v>17D7954</v>
      </c>
      <c r="C16" s="60" t="s">
        <v>301</v>
      </c>
    </row>
    <row r="17" spans="1:3" x14ac:dyDescent="0.2">
      <c r="A17" s="20">
        <v>14</v>
      </c>
      <c r="B17" s="59" t="str">
        <f>+'1-Serie uit 0-lijst'!B20</f>
        <v>17D7955</v>
      </c>
      <c r="C17" s="60" t="s">
        <v>301</v>
      </c>
    </row>
    <row r="18" spans="1:3" x14ac:dyDescent="0.2">
      <c r="A18" s="20">
        <v>15</v>
      </c>
      <c r="B18" s="59" t="str">
        <f>+'1-Serie uit 0-lijst'!B21</f>
        <v>17D7959</v>
      </c>
      <c r="C18" s="60" t="s">
        <v>301</v>
      </c>
    </row>
    <row r="19" spans="1:3" x14ac:dyDescent="0.2">
      <c r="A19" s="20">
        <v>16</v>
      </c>
      <c r="B19" s="59" t="str">
        <f>+'1-Serie uit 0-lijst'!B22</f>
        <v>17D7960</v>
      </c>
      <c r="C19" s="60" t="s">
        <v>301</v>
      </c>
    </row>
    <row r="20" spans="1:3" x14ac:dyDescent="0.2">
      <c r="A20" s="20">
        <v>17</v>
      </c>
      <c r="B20" s="59" t="str">
        <f>+'1-Serie uit 0-lijst'!B23</f>
        <v>17D8000</v>
      </c>
      <c r="C20" s="60" t="s">
        <v>301</v>
      </c>
    </row>
    <row r="21" spans="1:3" x14ac:dyDescent="0.2">
      <c r="A21" s="20">
        <v>18</v>
      </c>
      <c r="B21" s="59" t="str">
        <f>+'1-Serie uit 0-lijst'!B24</f>
        <v>17D8001</v>
      </c>
      <c r="C21" s="60" t="s">
        <v>301</v>
      </c>
    </row>
    <row r="22" spans="1:3" x14ac:dyDescent="0.2">
      <c r="A22" s="20">
        <v>19</v>
      </c>
      <c r="B22" s="59" t="str">
        <f>+'1-Serie uit 0-lijst'!B25</f>
        <v>17D8007</v>
      </c>
      <c r="C22" s="60" t="s">
        <v>301</v>
      </c>
    </row>
    <row r="23" spans="1:3" x14ac:dyDescent="0.2">
      <c r="A23" s="20">
        <v>20</v>
      </c>
      <c r="B23" s="59" t="str">
        <f>+'1-Serie uit 0-lijst'!B26</f>
        <v>17D8008</v>
      </c>
      <c r="C23" s="60" t="s">
        <v>301</v>
      </c>
    </row>
    <row r="24" spans="1:3" x14ac:dyDescent="0.2">
      <c r="A24" s="20">
        <v>21</v>
      </c>
      <c r="B24" s="59" t="str">
        <f>+'1-Serie uit 0-lijst'!B27</f>
        <v>17D8009</v>
      </c>
      <c r="C24" s="60" t="s">
        <v>301</v>
      </c>
    </row>
    <row r="25" spans="1:3" x14ac:dyDescent="0.2">
      <c r="A25" s="20">
        <v>22</v>
      </c>
      <c r="B25" s="59" t="str">
        <f>+'1-Serie uit 0-lijst'!B28</f>
        <v>17D8010</v>
      </c>
      <c r="C25" s="60" t="s">
        <v>301</v>
      </c>
    </row>
    <row r="26" spans="1:3" x14ac:dyDescent="0.2">
      <c r="A26" s="20">
        <v>23</v>
      </c>
      <c r="B26" s="59" t="str">
        <f>+'1-Serie uit 0-lijst'!B29</f>
        <v>17D8011</v>
      </c>
      <c r="C26" s="60" t="s">
        <v>301</v>
      </c>
    </row>
    <row r="27" spans="1:3" x14ac:dyDescent="0.2">
      <c r="A27" s="20">
        <v>24</v>
      </c>
      <c r="B27" s="59" t="str">
        <f>+'1-Serie uit 0-lijst'!B30</f>
        <v>17D8020</v>
      </c>
      <c r="C27" s="60" t="s">
        <v>301</v>
      </c>
    </row>
    <row r="28" spans="1:3" x14ac:dyDescent="0.2">
      <c r="A28" s="20">
        <v>25</v>
      </c>
      <c r="B28" s="59" t="str">
        <f>+'1-Serie uit 0-lijst'!B31</f>
        <v>17D8022</v>
      </c>
      <c r="C28" s="60" t="s">
        <v>301</v>
      </c>
    </row>
    <row r="29" spans="1:3" x14ac:dyDescent="0.2">
      <c r="A29" s="20">
        <v>26</v>
      </c>
      <c r="B29" s="59" t="str">
        <f>+'1-Serie uit 0-lijst'!B32</f>
        <v>17D8063</v>
      </c>
      <c r="C29" s="60" t="s">
        <v>301</v>
      </c>
    </row>
    <row r="30" spans="1:3" x14ac:dyDescent="0.2">
      <c r="A30" s="20">
        <v>27</v>
      </c>
      <c r="B30" s="59" t="str">
        <f>+'1-Serie uit 0-lijst'!B33</f>
        <v>17D8064</v>
      </c>
      <c r="C30" s="60" t="s">
        <v>301</v>
      </c>
    </row>
    <row r="31" spans="1:3" x14ac:dyDescent="0.2">
      <c r="A31" s="20">
        <v>28</v>
      </c>
      <c r="B31" s="59" t="str">
        <f>+'1-Serie uit 0-lijst'!B34</f>
        <v>17D8065</v>
      </c>
      <c r="C31" s="60" t="s">
        <v>301</v>
      </c>
    </row>
    <row r="32" spans="1:3" x14ac:dyDescent="0.2">
      <c r="A32" s="20">
        <v>29</v>
      </c>
      <c r="B32" s="59" t="str">
        <f>+'1-Serie uit 0-lijst'!B35</f>
        <v>17D8066</v>
      </c>
      <c r="C32" s="60" t="s">
        <v>301</v>
      </c>
    </row>
    <row r="33" spans="1:3" x14ac:dyDescent="0.2">
      <c r="A33" s="20">
        <v>30</v>
      </c>
      <c r="B33" s="59" t="str">
        <f>+'1-Serie uit 0-lijst'!B36</f>
        <v>17D8077</v>
      </c>
      <c r="C33" s="60" t="s">
        <v>301</v>
      </c>
    </row>
    <row r="34" spans="1:3" x14ac:dyDescent="0.2">
      <c r="A34" s="20">
        <v>31</v>
      </c>
      <c r="B34" s="59" t="str">
        <f>+'1-Serie uit 0-lijst'!B37</f>
        <v>17D8082</v>
      </c>
      <c r="C34" s="60" t="s">
        <v>301</v>
      </c>
    </row>
    <row r="35" spans="1:3" x14ac:dyDescent="0.2">
      <c r="A35" s="20">
        <v>32</v>
      </c>
      <c r="B35" s="59" t="str">
        <f>+'1-Serie uit 0-lijst'!B38</f>
        <v>17D8113</v>
      </c>
      <c r="C35" s="60" t="s">
        <v>301</v>
      </c>
    </row>
    <row r="36" spans="1:3" x14ac:dyDescent="0.2">
      <c r="A36" s="20">
        <v>33</v>
      </c>
      <c r="B36" s="59" t="str">
        <f>+'1-Serie uit 0-lijst'!B39</f>
        <v>17D8114</v>
      </c>
      <c r="C36" s="60" t="s">
        <v>301</v>
      </c>
    </row>
    <row r="37" spans="1:3" x14ac:dyDescent="0.2">
      <c r="A37" s="20">
        <v>34</v>
      </c>
      <c r="B37" s="59" t="str">
        <f>+'1-Serie uit 0-lijst'!B40</f>
        <v>17D8115</v>
      </c>
      <c r="C37" s="60" t="s">
        <v>301</v>
      </c>
    </row>
    <row r="38" spans="1:3" x14ac:dyDescent="0.2">
      <c r="A38" s="20">
        <v>35</v>
      </c>
      <c r="B38" s="59" t="str">
        <f>+'1-Serie uit 0-lijst'!B41</f>
        <v>17D8117</v>
      </c>
      <c r="C38" s="60" t="s">
        <v>301</v>
      </c>
    </row>
    <row r="39" spans="1:3" x14ac:dyDescent="0.2">
      <c r="A39" s="20">
        <v>36</v>
      </c>
      <c r="B39" s="59" t="str">
        <f>+'1-Serie uit 0-lijst'!B42</f>
        <v>17D8127</v>
      </c>
      <c r="C39" s="60" t="s">
        <v>301</v>
      </c>
    </row>
    <row r="40" spans="1:3" x14ac:dyDescent="0.2">
      <c r="A40" s="20">
        <v>37</v>
      </c>
      <c r="B40" s="59" t="str">
        <f>+'1-Serie uit 0-lijst'!B43</f>
        <v>17D8130</v>
      </c>
      <c r="C40" s="60" t="s">
        <v>301</v>
      </c>
    </row>
    <row r="41" spans="1:3" x14ac:dyDescent="0.2">
      <c r="A41" s="20">
        <v>38</v>
      </c>
      <c r="B41" s="59" t="str">
        <f>+'1-Serie uit 0-lijst'!B44</f>
        <v>17D8131</v>
      </c>
      <c r="C41" s="60" t="s">
        <v>301</v>
      </c>
    </row>
    <row r="42" spans="1:3" x14ac:dyDescent="0.2">
      <c r="A42" s="20">
        <v>39</v>
      </c>
      <c r="B42" s="59" t="str">
        <f>+'1-Serie uit 0-lijst'!B45</f>
        <v>17D8181</v>
      </c>
      <c r="C42" s="60" t="s">
        <v>301</v>
      </c>
    </row>
    <row r="43" spans="1:3" x14ac:dyDescent="0.2">
      <c r="A43" s="20">
        <v>40</v>
      </c>
      <c r="B43" s="59" t="str">
        <f>+'1-Serie uit 0-lijst'!B46</f>
        <v>17D8188</v>
      </c>
      <c r="C43" s="60" t="s">
        <v>301</v>
      </c>
    </row>
    <row r="44" spans="1:3" x14ac:dyDescent="0.2">
      <c r="A44" s="20">
        <v>41</v>
      </c>
      <c r="B44" s="59">
        <f>+'1-Serie uit 0-lijst'!B47</f>
        <v>0</v>
      </c>
      <c r="C44" s="60">
        <f>+'1-Serie uit 0-lijst'!C47</f>
        <v>0</v>
      </c>
    </row>
    <row r="45" spans="1:3" x14ac:dyDescent="0.2">
      <c r="A45" s="20">
        <v>42</v>
      </c>
      <c r="B45" s="59">
        <f>+'1-Serie uit 0-lijst'!B48</f>
        <v>0</v>
      </c>
      <c r="C45" s="60">
        <f>+'1-Serie uit 0-lijst'!C48</f>
        <v>0</v>
      </c>
    </row>
    <row r="46" spans="1:3" x14ac:dyDescent="0.2">
      <c r="A46" s="20">
        <v>43</v>
      </c>
      <c r="B46" s="59">
        <f>+'1-Serie uit 0-lijst'!B49</f>
        <v>0</v>
      </c>
      <c r="C46" s="60">
        <f>+'1-Serie uit 0-lijst'!C49</f>
        <v>0</v>
      </c>
    </row>
    <row r="47" spans="1:3" x14ac:dyDescent="0.2">
      <c r="A47" s="20">
        <v>44</v>
      </c>
      <c r="B47" s="59">
        <f>+'1-Serie uit 0-lijst'!B50</f>
        <v>0</v>
      </c>
      <c r="C47" s="60">
        <f>+'1-Serie uit 0-lijst'!C50</f>
        <v>0</v>
      </c>
    </row>
    <row r="48" spans="1:3" x14ac:dyDescent="0.2">
      <c r="A48" s="20">
        <v>45</v>
      </c>
      <c r="B48" s="59">
        <f>+'1-Serie uit 0-lijst'!B51</f>
        <v>0</v>
      </c>
      <c r="C48" s="60">
        <f>+'1-Serie uit 0-lijst'!C51</f>
        <v>0</v>
      </c>
    </row>
    <row r="49" spans="1:3" x14ac:dyDescent="0.2">
      <c r="A49" s="20">
        <v>46</v>
      </c>
      <c r="B49" s="59">
        <f>+'1-Serie uit 0-lijst'!B52</f>
        <v>0</v>
      </c>
      <c r="C49" s="60">
        <f>+'1-Serie uit 0-lijst'!C52</f>
        <v>0</v>
      </c>
    </row>
    <row r="50" spans="1:3" x14ac:dyDescent="0.2">
      <c r="A50" s="20">
        <v>47</v>
      </c>
      <c r="B50" s="59">
        <f>+'1-Serie uit 0-lijst'!B53</f>
        <v>0</v>
      </c>
      <c r="C50" s="60">
        <f>+'1-Serie uit 0-lijst'!C53</f>
        <v>0</v>
      </c>
    </row>
    <row r="51" spans="1:3" x14ac:dyDescent="0.2">
      <c r="A51" s="20">
        <v>48</v>
      </c>
      <c r="B51" s="59">
        <f>+'1-Serie uit 0-lijst'!B54</f>
        <v>0</v>
      </c>
      <c r="C51" s="60">
        <f>+'1-Serie uit 0-lijst'!C54</f>
        <v>0</v>
      </c>
    </row>
    <row r="52" spans="1:3" x14ac:dyDescent="0.2">
      <c r="A52" s="20">
        <v>49</v>
      </c>
      <c r="B52" s="59">
        <f>+'1-Serie uit 0-lijst'!B55</f>
        <v>0</v>
      </c>
      <c r="C52" s="60">
        <f>+'1-Serie uit 0-lijst'!C55</f>
        <v>0</v>
      </c>
    </row>
    <row r="53" spans="1:3" x14ac:dyDescent="0.2">
      <c r="A53" s="20">
        <v>50</v>
      </c>
      <c r="B53" s="59">
        <f>+'1-Serie uit 0-lijst'!B56</f>
        <v>0</v>
      </c>
      <c r="C53" s="60">
        <f>+'1-Serie uit 0-lijst'!C56</f>
        <v>0</v>
      </c>
    </row>
    <row r="54" spans="1:3" x14ac:dyDescent="0.2">
      <c r="A54" s="20">
        <v>51</v>
      </c>
      <c r="B54" s="59">
        <f>+'1-Serie uit 0-lijst'!B57</f>
        <v>0</v>
      </c>
      <c r="C54" s="60">
        <f>+'1-Serie uit 0-lijst'!C57</f>
        <v>0</v>
      </c>
    </row>
    <row r="55" spans="1:3" x14ac:dyDescent="0.2">
      <c r="A55" s="20">
        <v>52</v>
      </c>
      <c r="B55" s="59">
        <f>+'1-Serie uit 0-lijst'!B58</f>
        <v>0</v>
      </c>
      <c r="C55" s="60">
        <f>+'1-Serie uit 0-lijst'!C58</f>
        <v>0</v>
      </c>
    </row>
    <row r="56" spans="1:3" x14ac:dyDescent="0.2">
      <c r="A56" s="20">
        <v>53</v>
      </c>
      <c r="B56" s="59">
        <f>+'1-Serie uit 0-lijst'!B59</f>
        <v>0</v>
      </c>
      <c r="C56" s="60">
        <f>+'1-Serie uit 0-lijst'!C59</f>
        <v>0</v>
      </c>
    </row>
    <row r="57" spans="1:3" x14ac:dyDescent="0.2">
      <c r="A57" s="20">
        <v>54</v>
      </c>
      <c r="B57" s="59">
        <f>+'1-Serie uit 0-lijst'!B60</f>
        <v>0</v>
      </c>
      <c r="C57" s="60">
        <f>+'1-Serie uit 0-lijst'!C60</f>
        <v>0</v>
      </c>
    </row>
    <row r="58" spans="1:3" x14ac:dyDescent="0.2">
      <c r="A58" s="20">
        <v>55</v>
      </c>
      <c r="B58" s="59">
        <f>+'1-Serie uit 0-lijst'!B61</f>
        <v>0</v>
      </c>
      <c r="C58" s="60">
        <f>+'1-Serie uit 0-lijst'!C61</f>
        <v>0</v>
      </c>
    </row>
    <row r="59" spans="1:3" x14ac:dyDescent="0.2">
      <c r="A59" s="20">
        <v>56</v>
      </c>
      <c r="B59" s="59">
        <f>+'1-Serie uit 0-lijst'!B62</f>
        <v>0</v>
      </c>
      <c r="C59" s="60">
        <f>+'1-Serie uit 0-lijst'!C62</f>
        <v>0</v>
      </c>
    </row>
    <row r="60" spans="1:3" x14ac:dyDescent="0.2">
      <c r="A60" s="20">
        <v>57</v>
      </c>
      <c r="B60" s="59">
        <f>+'1-Serie uit 0-lijst'!B63</f>
        <v>0</v>
      </c>
      <c r="C60" s="60">
        <f>+'1-Serie uit 0-lijst'!C63</f>
        <v>0</v>
      </c>
    </row>
    <row r="61" spans="1:3" x14ac:dyDescent="0.2">
      <c r="A61" s="20">
        <v>58</v>
      </c>
      <c r="B61" s="59">
        <f>+'1-Serie uit 0-lijst'!B64</f>
        <v>0</v>
      </c>
      <c r="C61" s="60">
        <f>+'1-Serie uit 0-lijst'!C64</f>
        <v>0</v>
      </c>
    </row>
    <row r="62" spans="1:3" x14ac:dyDescent="0.2">
      <c r="A62" s="20">
        <v>59</v>
      </c>
      <c r="B62" s="59">
        <f>+'1-Serie uit 0-lijst'!B65</f>
        <v>0</v>
      </c>
      <c r="C62" s="60">
        <f>+'1-Serie uit 0-lijst'!C65</f>
        <v>0</v>
      </c>
    </row>
    <row r="63" spans="1:3" x14ac:dyDescent="0.2">
      <c r="A63" s="20">
        <v>60</v>
      </c>
      <c r="B63" s="59">
        <f>+'1-Serie uit 0-lijst'!B66</f>
        <v>0</v>
      </c>
      <c r="C63" s="60">
        <f>+'1-Serie uit 0-lijst'!C66</f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I101"/>
  <sheetViews>
    <sheetView topLeftCell="A2" workbookViewId="0">
      <selection activeCell="A22" sqref="A22:A61"/>
    </sheetView>
  </sheetViews>
  <sheetFormatPr defaultRowHeight="14.25" x14ac:dyDescent="0.2"/>
  <cols>
    <col min="1" max="1" width="12.7109375" style="18" bestFit="1" customWidth="1"/>
    <col min="2" max="3" width="9.140625" style="18"/>
    <col min="4" max="4" width="15.85546875" style="18" customWidth="1"/>
    <col min="5" max="7" width="9.140625" style="18"/>
    <col min="8" max="8" width="15.5703125" style="18" customWidth="1"/>
    <col min="9" max="16384" width="9.140625" style="18"/>
  </cols>
  <sheetData>
    <row r="1" spans="1:9" ht="18" x14ac:dyDescent="0.25">
      <c r="A1" s="17" t="str">
        <f>+'1-Serie uit 0-lijst'!A1</f>
        <v>MiSeq Exp DL070</v>
      </c>
      <c r="C1" s="19" t="s">
        <v>33</v>
      </c>
      <c r="D1" s="17"/>
      <c r="E1" s="17"/>
      <c r="F1" s="17"/>
      <c r="G1" s="17"/>
      <c r="H1" s="17"/>
      <c r="I1" s="17"/>
    </row>
    <row r="3" spans="1:9" x14ac:dyDescent="0.2">
      <c r="A3" s="16"/>
    </row>
    <row r="5" spans="1:9" ht="15" x14ac:dyDescent="0.25">
      <c r="A5" s="17" t="s">
        <v>69</v>
      </c>
      <c r="C5" s="272" t="s">
        <v>193</v>
      </c>
      <c r="D5" s="273"/>
      <c r="E5" s="54" t="s">
        <v>166</v>
      </c>
      <c r="F5" s="54" t="s">
        <v>194</v>
      </c>
      <c r="G5" s="54" t="s">
        <v>13</v>
      </c>
      <c r="H5" s="189" t="s">
        <v>210</v>
      </c>
    </row>
    <row r="6" spans="1:9" ht="15" x14ac:dyDescent="0.25">
      <c r="A6" s="17" t="s">
        <v>70</v>
      </c>
      <c r="C6" s="189" t="s">
        <v>302</v>
      </c>
      <c r="D6" s="88" t="s">
        <v>86</v>
      </c>
      <c r="E6" s="90" t="str">
        <f>+'1-Serie uit 0-lijst'!B7</f>
        <v>17D7796</v>
      </c>
      <c r="F6" s="89">
        <v>184</v>
      </c>
      <c r="G6" s="62" t="s">
        <v>301</v>
      </c>
      <c r="H6" s="140"/>
    </row>
    <row r="7" spans="1:9" ht="15" x14ac:dyDescent="0.25">
      <c r="A7" s="17" t="s">
        <v>71</v>
      </c>
      <c r="C7" s="189"/>
      <c r="D7" s="88" t="s">
        <v>87</v>
      </c>
      <c r="E7" s="90" t="str">
        <f>+'1-Serie uit 0-lijst'!B8</f>
        <v>17D7859</v>
      </c>
      <c r="F7" s="89">
        <v>185</v>
      </c>
      <c r="G7" s="62" t="s">
        <v>301</v>
      </c>
      <c r="H7" s="140"/>
    </row>
    <row r="8" spans="1:9" ht="15" x14ac:dyDescent="0.25">
      <c r="A8" s="17" t="s">
        <v>72</v>
      </c>
      <c r="C8" s="189"/>
      <c r="D8" s="88" t="s">
        <v>88</v>
      </c>
      <c r="E8" s="90" t="str">
        <f>+'1-Serie uit 0-lijst'!B9</f>
        <v>17D7860</v>
      </c>
      <c r="F8" s="89">
        <v>186</v>
      </c>
      <c r="G8" s="62" t="s">
        <v>301</v>
      </c>
      <c r="H8" s="140"/>
    </row>
    <row r="9" spans="1:9" ht="15" x14ac:dyDescent="0.25">
      <c r="A9" s="17" t="s">
        <v>73</v>
      </c>
      <c r="C9" s="189"/>
      <c r="D9" s="88" t="s">
        <v>89</v>
      </c>
      <c r="E9" s="90" t="str">
        <f>+'1-Serie uit 0-lijst'!B10</f>
        <v>17D7872</v>
      </c>
      <c r="F9" s="89">
        <v>147</v>
      </c>
      <c r="G9" s="62" t="s">
        <v>301</v>
      </c>
      <c r="H9" s="140"/>
    </row>
    <row r="10" spans="1:9" ht="15" x14ac:dyDescent="0.25">
      <c r="A10" s="17" t="s">
        <v>74</v>
      </c>
      <c r="C10" s="189"/>
      <c r="D10" s="88" t="s">
        <v>90</v>
      </c>
      <c r="E10" s="90" t="str">
        <f>+'1-Serie uit 0-lijst'!B11</f>
        <v>17D7873</v>
      </c>
      <c r="F10" s="89">
        <v>148</v>
      </c>
      <c r="G10" s="62" t="s">
        <v>301</v>
      </c>
      <c r="H10" s="140"/>
    </row>
    <row r="11" spans="1:9" ht="15" x14ac:dyDescent="0.25">
      <c r="A11" s="17" t="s">
        <v>75</v>
      </c>
      <c r="C11" s="189"/>
      <c r="D11" s="88" t="s">
        <v>91</v>
      </c>
      <c r="E11" s="90" t="str">
        <f>+'1-Serie uit 0-lijst'!B12</f>
        <v>17D7874</v>
      </c>
      <c r="F11" s="89">
        <v>149</v>
      </c>
      <c r="G11" s="62" t="s">
        <v>301</v>
      </c>
      <c r="H11" s="140"/>
    </row>
    <row r="12" spans="1:9" ht="15" x14ac:dyDescent="0.25">
      <c r="A12" s="17" t="s">
        <v>76</v>
      </c>
      <c r="C12" s="189"/>
      <c r="D12" s="88" t="s">
        <v>92</v>
      </c>
      <c r="E12" s="90" t="str">
        <f>+'1-Serie uit 0-lijst'!B13</f>
        <v>17D7900</v>
      </c>
      <c r="F12" s="89">
        <v>150</v>
      </c>
      <c r="G12" s="62" t="s">
        <v>301</v>
      </c>
      <c r="H12" s="140"/>
    </row>
    <row r="13" spans="1:9" ht="15" x14ac:dyDescent="0.25">
      <c r="A13" s="17" t="s">
        <v>77</v>
      </c>
      <c r="C13" s="189"/>
      <c r="D13" s="88" t="s">
        <v>93</v>
      </c>
      <c r="E13" s="90" t="str">
        <f>+'1-Serie uit 0-lijst'!B14</f>
        <v>17D7901</v>
      </c>
      <c r="F13" s="89">
        <v>151</v>
      </c>
      <c r="G13" s="62" t="s">
        <v>301</v>
      </c>
      <c r="H13" s="140"/>
    </row>
    <row r="14" spans="1:9" ht="15" x14ac:dyDescent="0.25">
      <c r="A14" s="17" t="s">
        <v>78</v>
      </c>
      <c r="C14" s="88"/>
      <c r="D14" s="88" t="s">
        <v>94</v>
      </c>
      <c r="E14" s="90" t="str">
        <f>+'1-Serie uit 0-lijst'!B15</f>
        <v>17D7905</v>
      </c>
      <c r="F14" s="89">
        <v>152</v>
      </c>
      <c r="G14" s="62" t="s">
        <v>301</v>
      </c>
      <c r="H14" s="140"/>
    </row>
    <row r="15" spans="1:9" ht="15" x14ac:dyDescent="0.25">
      <c r="A15" s="17" t="s">
        <v>79</v>
      </c>
      <c r="C15" s="88"/>
      <c r="D15" s="88" t="s">
        <v>95</v>
      </c>
      <c r="E15" s="90" t="str">
        <f>+'1-Serie uit 0-lijst'!B16</f>
        <v>17D7908</v>
      </c>
      <c r="F15" s="89">
        <v>153</v>
      </c>
      <c r="G15" s="62" t="s">
        <v>301</v>
      </c>
      <c r="H15" s="140"/>
    </row>
    <row r="16" spans="1:9" ht="15" x14ac:dyDescent="0.25">
      <c r="A16" s="17" t="s">
        <v>80</v>
      </c>
      <c r="C16" s="88"/>
      <c r="D16" s="88" t="s">
        <v>96</v>
      </c>
      <c r="E16" s="90" t="str">
        <f>+'1-Serie uit 0-lijst'!B17</f>
        <v>17D7952</v>
      </c>
      <c r="F16" s="89">
        <v>154</v>
      </c>
      <c r="G16" s="62" t="s">
        <v>301</v>
      </c>
      <c r="H16" s="140"/>
    </row>
    <row r="17" spans="1:8" ht="15" x14ac:dyDescent="0.25">
      <c r="A17" s="17" t="s">
        <v>81</v>
      </c>
      <c r="C17" s="88"/>
      <c r="D17" s="88" t="s">
        <v>97</v>
      </c>
      <c r="E17" s="90" t="str">
        <f>+'1-Serie uit 0-lijst'!B18</f>
        <v>17D7953</v>
      </c>
      <c r="F17" s="89">
        <v>155</v>
      </c>
      <c r="G17" s="62" t="s">
        <v>301</v>
      </c>
      <c r="H17" s="140"/>
    </row>
    <row r="18" spans="1:8" ht="15" x14ac:dyDescent="0.25">
      <c r="A18" s="17" t="s">
        <v>82</v>
      </c>
      <c r="C18" s="88"/>
      <c r="D18" s="88" t="s">
        <v>98</v>
      </c>
      <c r="E18" s="90" t="str">
        <f>+'1-Serie uit 0-lijst'!B19</f>
        <v>17D7954</v>
      </c>
      <c r="F18" s="89">
        <v>156</v>
      </c>
      <c r="G18" s="62" t="s">
        <v>301</v>
      </c>
      <c r="H18" s="140"/>
    </row>
    <row r="19" spans="1:8" ht="15" x14ac:dyDescent="0.25">
      <c r="A19" s="17" t="s">
        <v>83</v>
      </c>
      <c r="C19" s="88"/>
      <c r="D19" s="88" t="s">
        <v>99</v>
      </c>
      <c r="E19" s="90" t="str">
        <f>+'1-Serie uit 0-lijst'!B20</f>
        <v>17D7955</v>
      </c>
      <c r="F19" s="89">
        <v>157</v>
      </c>
      <c r="G19" s="62" t="s">
        <v>301</v>
      </c>
      <c r="H19" s="140"/>
    </row>
    <row r="20" spans="1:8" ht="15" x14ac:dyDescent="0.25">
      <c r="A20" s="17" t="s">
        <v>84</v>
      </c>
      <c r="C20" s="88"/>
      <c r="D20" s="88" t="s">
        <v>100</v>
      </c>
      <c r="E20" s="90" t="str">
        <f>+'1-Serie uit 0-lijst'!B21</f>
        <v>17D7959</v>
      </c>
      <c r="F20" s="89">
        <v>158</v>
      </c>
      <c r="G20" s="62" t="s">
        <v>301</v>
      </c>
      <c r="H20" s="140"/>
    </row>
    <row r="21" spans="1:8" ht="15" x14ac:dyDescent="0.25">
      <c r="A21" s="17" t="s">
        <v>85</v>
      </c>
      <c r="C21" s="88"/>
      <c r="D21" s="88" t="s">
        <v>101</v>
      </c>
      <c r="E21" s="90" t="str">
        <f>+'1-Serie uit 0-lijst'!B22</f>
        <v>17D7960</v>
      </c>
      <c r="F21" s="89">
        <v>159</v>
      </c>
      <c r="G21" s="62" t="s">
        <v>301</v>
      </c>
      <c r="H21" s="140"/>
    </row>
    <row r="22" spans="1:8" ht="15" x14ac:dyDescent="0.25">
      <c r="A22" s="17" t="s">
        <v>86</v>
      </c>
      <c r="C22" s="88"/>
      <c r="D22" s="88" t="s">
        <v>102</v>
      </c>
      <c r="E22" s="90" t="str">
        <f>+'1-Serie uit 0-lijst'!B23</f>
        <v>17D8000</v>
      </c>
      <c r="F22" s="89">
        <v>160</v>
      </c>
      <c r="G22" s="62" t="s">
        <v>301</v>
      </c>
      <c r="H22" s="140"/>
    </row>
    <row r="23" spans="1:8" ht="15" x14ac:dyDescent="0.25">
      <c r="A23" s="17" t="s">
        <v>87</v>
      </c>
      <c r="C23" s="88"/>
      <c r="D23" s="88" t="s">
        <v>103</v>
      </c>
      <c r="E23" s="90" t="str">
        <f>+'1-Serie uit 0-lijst'!B24</f>
        <v>17D8001</v>
      </c>
      <c r="F23" s="89">
        <v>161</v>
      </c>
      <c r="G23" s="62" t="s">
        <v>301</v>
      </c>
      <c r="H23" s="140"/>
    </row>
    <row r="24" spans="1:8" ht="15" x14ac:dyDescent="0.25">
      <c r="A24" s="17" t="s">
        <v>88</v>
      </c>
      <c r="C24" s="88"/>
      <c r="D24" s="88" t="s">
        <v>104</v>
      </c>
      <c r="E24" s="90" t="str">
        <f>+'1-Serie uit 0-lijst'!B25</f>
        <v>17D8007</v>
      </c>
      <c r="F24" s="89">
        <v>162</v>
      </c>
      <c r="G24" s="62" t="s">
        <v>301</v>
      </c>
      <c r="H24" s="140"/>
    </row>
    <row r="25" spans="1:8" ht="15" x14ac:dyDescent="0.25">
      <c r="A25" s="17" t="s">
        <v>89</v>
      </c>
      <c r="C25" s="88"/>
      <c r="D25" s="88" t="s">
        <v>105</v>
      </c>
      <c r="E25" s="90" t="str">
        <f>+'1-Serie uit 0-lijst'!B26</f>
        <v>17D8008</v>
      </c>
      <c r="F25" s="89">
        <v>163</v>
      </c>
      <c r="G25" s="62" t="s">
        <v>301</v>
      </c>
      <c r="H25" s="140"/>
    </row>
    <row r="26" spans="1:8" ht="15" x14ac:dyDescent="0.25">
      <c r="A26" s="17" t="s">
        <v>90</v>
      </c>
      <c r="C26" s="88"/>
      <c r="D26" s="88" t="s">
        <v>106</v>
      </c>
      <c r="E26" s="90" t="str">
        <f>+'1-Serie uit 0-lijst'!B27</f>
        <v>17D8009</v>
      </c>
      <c r="F26" s="89">
        <v>164</v>
      </c>
      <c r="G26" s="62" t="s">
        <v>301</v>
      </c>
      <c r="H26" s="140"/>
    </row>
    <row r="27" spans="1:8" ht="15" x14ac:dyDescent="0.25">
      <c r="A27" s="17" t="s">
        <v>91</v>
      </c>
      <c r="C27" s="88"/>
      <c r="D27" s="88" t="s">
        <v>107</v>
      </c>
      <c r="E27" s="90" t="str">
        <f>+'1-Serie uit 0-lijst'!B28</f>
        <v>17D8010</v>
      </c>
      <c r="F27" s="89">
        <v>165</v>
      </c>
      <c r="G27" s="62" t="s">
        <v>301</v>
      </c>
      <c r="H27" s="140"/>
    </row>
    <row r="28" spans="1:8" ht="15" x14ac:dyDescent="0.25">
      <c r="A28" s="17" t="s">
        <v>92</v>
      </c>
      <c r="C28" s="88"/>
      <c r="D28" s="88" t="s">
        <v>108</v>
      </c>
      <c r="E28" s="90" t="str">
        <f>+'1-Serie uit 0-lijst'!B29</f>
        <v>17D8011</v>
      </c>
      <c r="F28" s="89">
        <v>166</v>
      </c>
      <c r="G28" s="62" t="s">
        <v>301</v>
      </c>
      <c r="H28" s="140"/>
    </row>
    <row r="29" spans="1:8" ht="15" x14ac:dyDescent="0.25">
      <c r="A29" s="17" t="s">
        <v>93</v>
      </c>
      <c r="C29" s="88"/>
      <c r="D29" s="88" t="s">
        <v>109</v>
      </c>
      <c r="E29" s="90" t="str">
        <f>+'1-Serie uit 0-lijst'!B30</f>
        <v>17D8020</v>
      </c>
      <c r="F29" s="89">
        <v>167</v>
      </c>
      <c r="G29" s="62" t="s">
        <v>301</v>
      </c>
      <c r="H29" s="140"/>
    </row>
    <row r="30" spans="1:8" ht="15" x14ac:dyDescent="0.25">
      <c r="A30" s="17" t="s">
        <v>94</v>
      </c>
      <c r="C30" s="88"/>
      <c r="D30" s="88" t="s">
        <v>110</v>
      </c>
      <c r="E30" s="90" t="str">
        <f>+'1-Serie uit 0-lijst'!B31</f>
        <v>17D8022</v>
      </c>
      <c r="F30" s="89">
        <v>168</v>
      </c>
      <c r="G30" s="62" t="s">
        <v>301</v>
      </c>
      <c r="H30" s="140"/>
    </row>
    <row r="31" spans="1:8" ht="15" x14ac:dyDescent="0.25">
      <c r="A31" s="17" t="s">
        <v>95</v>
      </c>
      <c r="C31" s="88"/>
      <c r="D31" s="88" t="s">
        <v>111</v>
      </c>
      <c r="E31" s="90" t="str">
        <f>+'1-Serie uit 0-lijst'!B32</f>
        <v>17D8063</v>
      </c>
      <c r="F31" s="89">
        <v>169</v>
      </c>
      <c r="G31" s="62" t="s">
        <v>301</v>
      </c>
      <c r="H31" s="140"/>
    </row>
    <row r="32" spans="1:8" ht="15" x14ac:dyDescent="0.25">
      <c r="A32" s="17" t="s">
        <v>96</v>
      </c>
      <c r="C32" s="88"/>
      <c r="D32" s="88" t="s">
        <v>112</v>
      </c>
      <c r="E32" s="90" t="str">
        <f>+'1-Serie uit 0-lijst'!B33</f>
        <v>17D8064</v>
      </c>
      <c r="F32" s="89">
        <v>170</v>
      </c>
      <c r="G32" s="62" t="s">
        <v>301</v>
      </c>
      <c r="H32" s="140"/>
    </row>
    <row r="33" spans="1:8" ht="15" x14ac:dyDescent="0.25">
      <c r="A33" s="17" t="s">
        <v>97</v>
      </c>
      <c r="C33" s="88"/>
      <c r="D33" s="88" t="s">
        <v>113</v>
      </c>
      <c r="E33" s="90" t="str">
        <f>+'1-Serie uit 0-lijst'!B34</f>
        <v>17D8065</v>
      </c>
      <c r="F33" s="89">
        <v>171</v>
      </c>
      <c r="G33" s="62" t="s">
        <v>301</v>
      </c>
      <c r="H33" s="140"/>
    </row>
    <row r="34" spans="1:8" ht="15" x14ac:dyDescent="0.25">
      <c r="A34" s="17" t="s">
        <v>98</v>
      </c>
      <c r="C34" s="88"/>
      <c r="D34" s="88" t="s">
        <v>114</v>
      </c>
      <c r="E34" s="90" t="str">
        <f>+'1-Serie uit 0-lijst'!B35</f>
        <v>17D8066</v>
      </c>
      <c r="F34" s="89">
        <v>172</v>
      </c>
      <c r="G34" s="62" t="s">
        <v>301</v>
      </c>
      <c r="H34" s="140"/>
    </row>
    <row r="35" spans="1:8" ht="15" x14ac:dyDescent="0.25">
      <c r="A35" s="17" t="s">
        <v>99</v>
      </c>
      <c r="C35" s="88"/>
      <c r="D35" s="88" t="s">
        <v>115</v>
      </c>
      <c r="E35" s="90" t="str">
        <f>+'1-Serie uit 0-lijst'!B36</f>
        <v>17D8077</v>
      </c>
      <c r="F35" s="89">
        <v>173</v>
      </c>
      <c r="G35" s="62" t="s">
        <v>301</v>
      </c>
      <c r="H35" s="140"/>
    </row>
    <row r="36" spans="1:8" ht="15" x14ac:dyDescent="0.25">
      <c r="A36" s="17" t="s">
        <v>100</v>
      </c>
      <c r="C36" s="88"/>
      <c r="D36" s="88" t="s">
        <v>116</v>
      </c>
      <c r="E36" s="90" t="str">
        <f>+'1-Serie uit 0-lijst'!B37</f>
        <v>17D8082</v>
      </c>
      <c r="F36" s="89">
        <v>174</v>
      </c>
      <c r="G36" s="62" t="s">
        <v>301</v>
      </c>
      <c r="H36" s="140"/>
    </row>
    <row r="37" spans="1:8" ht="15" x14ac:dyDescent="0.25">
      <c r="A37" s="17" t="s">
        <v>101</v>
      </c>
      <c r="C37" s="88"/>
      <c r="D37" s="88" t="s">
        <v>117</v>
      </c>
      <c r="E37" s="90" t="str">
        <f>+'1-Serie uit 0-lijst'!B38</f>
        <v>17D8113</v>
      </c>
      <c r="F37" s="89">
        <v>175</v>
      </c>
      <c r="G37" s="62" t="s">
        <v>301</v>
      </c>
      <c r="H37" s="140"/>
    </row>
    <row r="38" spans="1:8" ht="15" x14ac:dyDescent="0.25">
      <c r="A38" s="17" t="s">
        <v>102</v>
      </c>
      <c r="C38" s="88"/>
      <c r="D38" s="88" t="s">
        <v>118</v>
      </c>
      <c r="E38" s="90" t="str">
        <f>+'1-Serie uit 0-lijst'!B39</f>
        <v>17D8114</v>
      </c>
      <c r="F38" s="89">
        <v>176</v>
      </c>
      <c r="G38" s="62" t="s">
        <v>301</v>
      </c>
      <c r="H38" s="140"/>
    </row>
    <row r="39" spans="1:8" ht="15" x14ac:dyDescent="0.25">
      <c r="A39" s="17" t="s">
        <v>103</v>
      </c>
      <c r="C39" s="88"/>
      <c r="D39" s="88" t="s">
        <v>119</v>
      </c>
      <c r="E39" s="90" t="str">
        <f>+'1-Serie uit 0-lijst'!B40</f>
        <v>17D8115</v>
      </c>
      <c r="F39" s="89">
        <v>177</v>
      </c>
      <c r="G39" s="62" t="s">
        <v>301</v>
      </c>
      <c r="H39" s="140"/>
    </row>
    <row r="40" spans="1:8" ht="15" x14ac:dyDescent="0.25">
      <c r="A40" s="17" t="s">
        <v>104</v>
      </c>
      <c r="C40" s="88"/>
      <c r="D40" s="88" t="s">
        <v>120</v>
      </c>
      <c r="E40" s="90" t="str">
        <f>+'1-Serie uit 0-lijst'!B41</f>
        <v>17D8117</v>
      </c>
      <c r="F40" s="89">
        <v>178</v>
      </c>
      <c r="G40" s="62" t="s">
        <v>301</v>
      </c>
      <c r="H40" s="140"/>
    </row>
    <row r="41" spans="1:8" ht="15" x14ac:dyDescent="0.25">
      <c r="A41" s="17" t="s">
        <v>105</v>
      </c>
      <c r="C41" s="88"/>
      <c r="D41" s="88" t="s">
        <v>121</v>
      </c>
      <c r="E41" s="90" t="str">
        <f>+'1-Serie uit 0-lijst'!B42</f>
        <v>17D8127</v>
      </c>
      <c r="F41" s="89">
        <v>179</v>
      </c>
      <c r="G41" s="62" t="s">
        <v>301</v>
      </c>
      <c r="H41" s="140"/>
    </row>
    <row r="42" spans="1:8" ht="15" x14ac:dyDescent="0.25">
      <c r="A42" s="17" t="s">
        <v>106</v>
      </c>
      <c r="C42" s="88"/>
      <c r="D42" s="88" t="s">
        <v>122</v>
      </c>
      <c r="E42" s="90" t="str">
        <f>+'1-Serie uit 0-lijst'!B43</f>
        <v>17D8130</v>
      </c>
      <c r="F42" s="89">
        <v>180</v>
      </c>
      <c r="G42" s="62" t="s">
        <v>301</v>
      </c>
      <c r="H42" s="140"/>
    </row>
    <row r="43" spans="1:8" ht="15" x14ac:dyDescent="0.25">
      <c r="A43" s="17" t="s">
        <v>107</v>
      </c>
      <c r="C43" s="88"/>
      <c r="D43" s="88" t="s">
        <v>123</v>
      </c>
      <c r="E43" s="90" t="str">
        <f>+'1-Serie uit 0-lijst'!B44</f>
        <v>17D8131</v>
      </c>
      <c r="F43" s="89">
        <v>181</v>
      </c>
      <c r="G43" s="62" t="s">
        <v>301</v>
      </c>
      <c r="H43" s="140"/>
    </row>
    <row r="44" spans="1:8" ht="15" x14ac:dyDescent="0.25">
      <c r="A44" s="17" t="s">
        <v>108</v>
      </c>
      <c r="C44" s="88"/>
      <c r="D44" s="88" t="s">
        <v>124</v>
      </c>
      <c r="E44" s="90" t="str">
        <f>+'1-Serie uit 0-lijst'!B45</f>
        <v>17D8181</v>
      </c>
      <c r="F44" s="89">
        <v>182</v>
      </c>
      <c r="G44" s="62" t="s">
        <v>301</v>
      </c>
      <c r="H44" s="140"/>
    </row>
    <row r="45" spans="1:8" ht="15" x14ac:dyDescent="0.25">
      <c r="A45" s="17" t="s">
        <v>109</v>
      </c>
      <c r="C45" s="88"/>
      <c r="D45" s="88" t="s">
        <v>125</v>
      </c>
      <c r="E45" s="90" t="str">
        <f>+'1-Serie uit 0-lijst'!B46</f>
        <v>17D8188</v>
      </c>
      <c r="F45" s="89">
        <v>183</v>
      </c>
      <c r="G45" s="62" t="s">
        <v>301</v>
      </c>
      <c r="H45" s="140"/>
    </row>
    <row r="46" spans="1:8" ht="15" x14ac:dyDescent="0.25">
      <c r="A46" s="17" t="s">
        <v>110</v>
      </c>
      <c r="C46" s="88"/>
      <c r="D46" s="88"/>
      <c r="E46" s="90">
        <f>+'1-Serie uit 0-lijst'!B47</f>
        <v>0</v>
      </c>
      <c r="F46" s="89"/>
      <c r="G46" s="62">
        <f>+'1-Serie uit 0-lijst'!C47</f>
        <v>0</v>
      </c>
      <c r="H46" s="140"/>
    </row>
    <row r="47" spans="1:8" ht="15" x14ac:dyDescent="0.25">
      <c r="A47" s="17" t="s">
        <v>111</v>
      </c>
      <c r="C47" s="88"/>
      <c r="D47" s="88"/>
      <c r="E47" s="90">
        <f>+'1-Serie uit 0-lijst'!B48</f>
        <v>0</v>
      </c>
      <c r="F47" s="89"/>
      <c r="G47" s="62">
        <f>+'1-Serie uit 0-lijst'!C48</f>
        <v>0</v>
      </c>
      <c r="H47" s="140"/>
    </row>
    <row r="48" spans="1:8" ht="15" x14ac:dyDescent="0.25">
      <c r="A48" s="17" t="s">
        <v>112</v>
      </c>
      <c r="C48" s="88"/>
      <c r="D48" s="88"/>
      <c r="E48" s="90">
        <f>+'1-Serie uit 0-lijst'!B49</f>
        <v>0</v>
      </c>
      <c r="F48" s="89"/>
      <c r="G48" s="62">
        <f>+'1-Serie uit 0-lijst'!C49</f>
        <v>0</v>
      </c>
      <c r="H48" s="140"/>
    </row>
    <row r="49" spans="1:8" ht="15" x14ac:dyDescent="0.25">
      <c r="A49" s="17" t="s">
        <v>113</v>
      </c>
      <c r="C49" s="88"/>
      <c r="D49" s="88"/>
      <c r="E49" s="90">
        <f>+'1-Serie uit 0-lijst'!B50</f>
        <v>0</v>
      </c>
      <c r="F49" s="89"/>
      <c r="G49" s="62">
        <f>+'1-Serie uit 0-lijst'!C50</f>
        <v>0</v>
      </c>
      <c r="H49" s="140"/>
    </row>
    <row r="50" spans="1:8" ht="15" x14ac:dyDescent="0.25">
      <c r="A50" s="17" t="s">
        <v>114</v>
      </c>
      <c r="C50" s="88"/>
      <c r="D50" s="88"/>
      <c r="E50" s="90">
        <f>+'1-Serie uit 0-lijst'!B51</f>
        <v>0</v>
      </c>
      <c r="F50" s="89"/>
      <c r="G50" s="62">
        <f>+'1-Serie uit 0-lijst'!C51</f>
        <v>0</v>
      </c>
      <c r="H50" s="140"/>
    </row>
    <row r="51" spans="1:8" ht="15" x14ac:dyDescent="0.25">
      <c r="A51" s="17" t="s">
        <v>115</v>
      </c>
      <c r="C51" s="88"/>
      <c r="D51" s="88"/>
      <c r="E51" s="90">
        <f>+'1-Serie uit 0-lijst'!B52</f>
        <v>0</v>
      </c>
      <c r="F51" s="89"/>
      <c r="G51" s="62">
        <f>+'1-Serie uit 0-lijst'!C52</f>
        <v>0</v>
      </c>
      <c r="H51" s="140"/>
    </row>
    <row r="52" spans="1:8" ht="15" x14ac:dyDescent="0.25">
      <c r="A52" s="17" t="s">
        <v>116</v>
      </c>
      <c r="C52" s="88"/>
      <c r="D52" s="88"/>
      <c r="E52" s="90">
        <f>+'1-Serie uit 0-lijst'!B53</f>
        <v>0</v>
      </c>
      <c r="F52" s="89"/>
      <c r="G52" s="62">
        <f>+'1-Serie uit 0-lijst'!C53</f>
        <v>0</v>
      </c>
      <c r="H52" s="140"/>
    </row>
    <row r="53" spans="1:8" ht="15" x14ac:dyDescent="0.25">
      <c r="A53" s="17" t="s">
        <v>117</v>
      </c>
      <c r="C53" s="88"/>
      <c r="D53" s="88"/>
      <c r="E53" s="90">
        <f>+'1-Serie uit 0-lijst'!B54</f>
        <v>0</v>
      </c>
      <c r="F53" s="89"/>
      <c r="G53" s="62">
        <f>+'1-Serie uit 0-lijst'!C54</f>
        <v>0</v>
      </c>
      <c r="H53" s="140"/>
    </row>
    <row r="54" spans="1:8" ht="15" x14ac:dyDescent="0.25">
      <c r="A54" s="17" t="s">
        <v>118</v>
      </c>
      <c r="C54" s="88"/>
      <c r="D54" s="88"/>
      <c r="E54" s="90">
        <f>+'1-Serie uit 0-lijst'!B55</f>
        <v>0</v>
      </c>
      <c r="F54" s="89"/>
      <c r="G54" s="62">
        <f>+'1-Serie uit 0-lijst'!C55</f>
        <v>0</v>
      </c>
      <c r="H54" s="140"/>
    </row>
    <row r="55" spans="1:8" ht="15" x14ac:dyDescent="0.25">
      <c r="A55" s="17" t="s">
        <v>119</v>
      </c>
      <c r="C55" s="88"/>
      <c r="D55" s="88"/>
      <c r="E55" s="90">
        <f>+'1-Serie uit 0-lijst'!B56</f>
        <v>0</v>
      </c>
      <c r="F55" s="89"/>
      <c r="G55" s="62">
        <f>+'1-Serie uit 0-lijst'!C56</f>
        <v>0</v>
      </c>
      <c r="H55" s="140"/>
    </row>
    <row r="56" spans="1:8" ht="15" x14ac:dyDescent="0.25">
      <c r="A56" s="17" t="s">
        <v>120</v>
      </c>
      <c r="C56" s="88"/>
      <c r="D56" s="88"/>
      <c r="E56" s="90">
        <f>+'1-Serie uit 0-lijst'!B57</f>
        <v>0</v>
      </c>
      <c r="F56" s="89"/>
      <c r="G56" s="62">
        <f>+'1-Serie uit 0-lijst'!C57</f>
        <v>0</v>
      </c>
      <c r="H56" s="140"/>
    </row>
    <row r="57" spans="1:8" ht="15" x14ac:dyDescent="0.25">
      <c r="A57" s="17" t="s">
        <v>121</v>
      </c>
      <c r="C57" s="88"/>
      <c r="D57" s="88"/>
      <c r="E57" s="90">
        <f>+'1-Serie uit 0-lijst'!B58</f>
        <v>0</v>
      </c>
      <c r="F57" s="89"/>
      <c r="G57" s="62">
        <f>+'1-Serie uit 0-lijst'!C58</f>
        <v>0</v>
      </c>
      <c r="H57" s="140"/>
    </row>
    <row r="58" spans="1:8" ht="15" x14ac:dyDescent="0.25">
      <c r="A58" s="17" t="s">
        <v>122</v>
      </c>
      <c r="C58" s="88"/>
      <c r="D58" s="88"/>
      <c r="E58" s="90">
        <f>+'1-Serie uit 0-lijst'!B59</f>
        <v>0</v>
      </c>
      <c r="F58" s="89"/>
      <c r="G58" s="62">
        <f>+'1-Serie uit 0-lijst'!C59</f>
        <v>0</v>
      </c>
      <c r="H58" s="140"/>
    </row>
    <row r="59" spans="1:8" ht="15" x14ac:dyDescent="0.25">
      <c r="A59" s="17" t="s">
        <v>123</v>
      </c>
      <c r="C59" s="88"/>
      <c r="D59" s="88"/>
      <c r="E59" s="90">
        <f>+'1-Serie uit 0-lijst'!B60</f>
        <v>0</v>
      </c>
      <c r="F59" s="89"/>
      <c r="G59" s="62">
        <f>+'1-Serie uit 0-lijst'!C60</f>
        <v>0</v>
      </c>
      <c r="H59" s="140"/>
    </row>
    <row r="60" spans="1:8" ht="15" x14ac:dyDescent="0.25">
      <c r="A60" s="17" t="s">
        <v>124</v>
      </c>
      <c r="C60" s="88"/>
      <c r="D60" s="88"/>
      <c r="E60" s="90">
        <f>+'1-Serie uit 0-lijst'!B61</f>
        <v>0</v>
      </c>
      <c r="F60" s="89"/>
      <c r="G60" s="62">
        <f>+'1-Serie uit 0-lijst'!C61</f>
        <v>0</v>
      </c>
      <c r="H60" s="140"/>
    </row>
    <row r="61" spans="1:8" ht="15" x14ac:dyDescent="0.25">
      <c r="A61" s="17" t="s">
        <v>125</v>
      </c>
      <c r="C61" s="88"/>
      <c r="D61" s="88"/>
      <c r="E61" s="90">
        <f>+'1-Serie uit 0-lijst'!B62</f>
        <v>0</v>
      </c>
      <c r="F61" s="89"/>
      <c r="G61" s="62">
        <f>+'1-Serie uit 0-lijst'!C62</f>
        <v>0</v>
      </c>
      <c r="H61" s="140"/>
    </row>
    <row r="62" spans="1:8" ht="15" x14ac:dyDescent="0.25">
      <c r="A62" s="17" t="s">
        <v>126</v>
      </c>
      <c r="C62" s="88"/>
      <c r="D62" s="88"/>
      <c r="E62" s="90">
        <f>+'1-Serie uit 0-lijst'!B63</f>
        <v>0</v>
      </c>
      <c r="F62" s="89"/>
      <c r="G62" s="62">
        <f>+'1-Serie uit 0-lijst'!C63</f>
        <v>0</v>
      </c>
      <c r="H62" s="140"/>
    </row>
    <row r="63" spans="1:8" ht="15" x14ac:dyDescent="0.25">
      <c r="A63" s="17" t="s">
        <v>127</v>
      </c>
      <c r="C63" s="88"/>
      <c r="D63" s="88"/>
      <c r="E63" s="90">
        <f>+'1-Serie uit 0-lijst'!B64</f>
        <v>0</v>
      </c>
      <c r="F63" s="89"/>
      <c r="G63" s="62">
        <f>+'1-Serie uit 0-lijst'!C64</f>
        <v>0</v>
      </c>
      <c r="H63" s="140"/>
    </row>
    <row r="64" spans="1:8" ht="15" x14ac:dyDescent="0.25">
      <c r="A64" s="17" t="s">
        <v>128</v>
      </c>
      <c r="C64" s="88"/>
      <c r="D64" s="88"/>
      <c r="E64" s="90">
        <f>+'1-Serie uit 0-lijst'!B65</f>
        <v>0</v>
      </c>
      <c r="F64" s="89"/>
      <c r="G64" s="62">
        <f>+'1-Serie uit 0-lijst'!C65</f>
        <v>0</v>
      </c>
      <c r="H64" s="140"/>
    </row>
    <row r="65" spans="1:8" ht="15" x14ac:dyDescent="0.25">
      <c r="A65" s="17" t="s">
        <v>129</v>
      </c>
      <c r="C65" s="88"/>
      <c r="D65" s="88"/>
      <c r="E65" s="90">
        <f>+'1-Serie uit 0-lijst'!B66</f>
        <v>0</v>
      </c>
      <c r="F65" s="89"/>
      <c r="G65" s="62">
        <f>+'1-Serie uit 0-lijst'!C66</f>
        <v>0</v>
      </c>
      <c r="H65" s="140"/>
    </row>
    <row r="66" spans="1:8" ht="15" x14ac:dyDescent="0.25">
      <c r="A66" s="17" t="s">
        <v>130</v>
      </c>
      <c r="C66" s="88"/>
      <c r="D66" s="88"/>
      <c r="E66" s="90">
        <f>+'1-Serie uit 0-lijst'!B67</f>
        <v>0</v>
      </c>
      <c r="F66" s="89"/>
      <c r="G66" s="62">
        <f>+'1-Serie uit 0-lijst'!C67</f>
        <v>0</v>
      </c>
      <c r="H66" s="140"/>
    </row>
    <row r="67" spans="1:8" ht="15" x14ac:dyDescent="0.25">
      <c r="A67" s="17" t="s">
        <v>131</v>
      </c>
    </row>
    <row r="68" spans="1:8" ht="15" x14ac:dyDescent="0.25">
      <c r="A68" s="17" t="s">
        <v>132</v>
      </c>
    </row>
    <row r="69" spans="1:8" ht="15" x14ac:dyDescent="0.25">
      <c r="A69" s="17" t="s">
        <v>133</v>
      </c>
    </row>
    <row r="70" spans="1:8" ht="15" x14ac:dyDescent="0.25">
      <c r="A70" s="17" t="s">
        <v>134</v>
      </c>
    </row>
    <row r="71" spans="1:8" ht="15" x14ac:dyDescent="0.25">
      <c r="A71" s="17" t="s">
        <v>135</v>
      </c>
    </row>
    <row r="72" spans="1:8" ht="15" x14ac:dyDescent="0.25">
      <c r="A72" s="17" t="s">
        <v>136</v>
      </c>
    </row>
    <row r="73" spans="1:8" ht="15" x14ac:dyDescent="0.25">
      <c r="A73" s="17" t="s">
        <v>137</v>
      </c>
    </row>
    <row r="74" spans="1:8" ht="15" x14ac:dyDescent="0.25">
      <c r="A74" s="17" t="s">
        <v>138</v>
      </c>
    </row>
    <row r="75" spans="1:8" ht="15" x14ac:dyDescent="0.25">
      <c r="A75" s="17" t="s">
        <v>139</v>
      </c>
    </row>
    <row r="76" spans="1:8" ht="15" x14ac:dyDescent="0.25">
      <c r="A76" s="17" t="s">
        <v>140</v>
      </c>
    </row>
    <row r="77" spans="1:8" ht="15" x14ac:dyDescent="0.25">
      <c r="A77" s="17" t="s">
        <v>141</v>
      </c>
    </row>
    <row r="78" spans="1:8" ht="15" x14ac:dyDescent="0.25">
      <c r="A78" s="17" t="s">
        <v>142</v>
      </c>
    </row>
    <row r="79" spans="1:8" ht="15" x14ac:dyDescent="0.25">
      <c r="A79" s="17" t="s">
        <v>143</v>
      </c>
    </row>
    <row r="80" spans="1:8" ht="15" x14ac:dyDescent="0.25">
      <c r="A80" s="17" t="s">
        <v>144</v>
      </c>
    </row>
    <row r="81" spans="1:1" ht="15" x14ac:dyDescent="0.25">
      <c r="A81" s="17" t="s">
        <v>145</v>
      </c>
    </row>
    <row r="82" spans="1:1" ht="15" x14ac:dyDescent="0.25">
      <c r="A82" s="17" t="s">
        <v>146</v>
      </c>
    </row>
    <row r="83" spans="1:1" ht="15" x14ac:dyDescent="0.25">
      <c r="A83" s="17" t="s">
        <v>147</v>
      </c>
    </row>
    <row r="84" spans="1:1" ht="15" x14ac:dyDescent="0.25">
      <c r="A84" s="17" t="s">
        <v>148</v>
      </c>
    </row>
    <row r="85" spans="1:1" ht="15" x14ac:dyDescent="0.25">
      <c r="A85" s="17" t="s">
        <v>149</v>
      </c>
    </row>
    <row r="86" spans="1:1" ht="15" x14ac:dyDescent="0.25">
      <c r="A86" s="17" t="s">
        <v>150</v>
      </c>
    </row>
    <row r="87" spans="1:1" ht="15" x14ac:dyDescent="0.25">
      <c r="A87" s="17" t="s">
        <v>151</v>
      </c>
    </row>
    <row r="88" spans="1:1" ht="15" x14ac:dyDescent="0.25">
      <c r="A88" s="17" t="s">
        <v>152</v>
      </c>
    </row>
    <row r="89" spans="1:1" ht="15" x14ac:dyDescent="0.25">
      <c r="A89" s="17" t="s">
        <v>153</v>
      </c>
    </row>
    <row r="90" spans="1:1" ht="15" x14ac:dyDescent="0.25">
      <c r="A90" s="17" t="s">
        <v>154</v>
      </c>
    </row>
    <row r="91" spans="1:1" ht="15" x14ac:dyDescent="0.25">
      <c r="A91" s="17" t="s">
        <v>155</v>
      </c>
    </row>
    <row r="92" spans="1:1" ht="15" x14ac:dyDescent="0.25">
      <c r="A92" s="17" t="s">
        <v>156</v>
      </c>
    </row>
    <row r="93" spans="1:1" ht="15" x14ac:dyDescent="0.25">
      <c r="A93" s="17" t="s">
        <v>157</v>
      </c>
    </row>
    <row r="94" spans="1:1" ht="15" x14ac:dyDescent="0.25">
      <c r="A94" s="17" t="s">
        <v>158</v>
      </c>
    </row>
    <row r="95" spans="1:1" ht="15" x14ac:dyDescent="0.25">
      <c r="A95" s="17" t="s">
        <v>159</v>
      </c>
    </row>
    <row r="96" spans="1:1" ht="15" x14ac:dyDescent="0.25">
      <c r="A96" s="17" t="s">
        <v>160</v>
      </c>
    </row>
    <row r="97" spans="1:1" ht="15" x14ac:dyDescent="0.25">
      <c r="A97" s="17" t="s">
        <v>161</v>
      </c>
    </row>
    <row r="98" spans="1:1" ht="15" x14ac:dyDescent="0.25">
      <c r="A98" s="17" t="s">
        <v>162</v>
      </c>
    </row>
    <row r="99" spans="1:1" ht="15" x14ac:dyDescent="0.25">
      <c r="A99" s="17" t="s">
        <v>163</v>
      </c>
    </row>
    <row r="100" spans="1:1" ht="15" x14ac:dyDescent="0.25">
      <c r="A100" s="17" t="s">
        <v>164</v>
      </c>
    </row>
    <row r="101" spans="1:1" ht="15" x14ac:dyDescent="0.25">
      <c r="A101" s="17" t="s">
        <v>165</v>
      </c>
    </row>
  </sheetData>
  <mergeCells count="1">
    <mergeCell ref="C5:D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2:J113"/>
  <sheetViews>
    <sheetView topLeftCell="A13" workbookViewId="0">
      <selection activeCell="D31" sqref="D31"/>
    </sheetView>
  </sheetViews>
  <sheetFormatPr defaultRowHeight="14.25" x14ac:dyDescent="0.2"/>
  <cols>
    <col min="1" max="1" width="13.5703125" style="18" customWidth="1"/>
    <col min="2" max="2" width="14" style="18" customWidth="1"/>
    <col min="3" max="3" width="11.42578125" style="18" bestFit="1" customWidth="1"/>
    <col min="4" max="4" width="9.140625" style="18"/>
    <col min="5" max="5" width="14.140625" style="18" customWidth="1"/>
    <col min="6" max="6" width="12.85546875" style="18" customWidth="1"/>
    <col min="7" max="7" width="9.140625" style="18"/>
    <col min="8" max="8" width="12.85546875" style="18" bestFit="1" customWidth="1"/>
    <col min="9" max="9" width="14.140625" style="18" customWidth="1"/>
    <col min="10" max="10" width="9.140625" style="18"/>
    <col min="11" max="11" width="15.7109375" style="18" bestFit="1" customWidth="1"/>
    <col min="12" max="12" width="3.140625" style="18" customWidth="1"/>
    <col min="13" max="16384" width="9.140625" style="18"/>
  </cols>
  <sheetData>
    <row r="2" spans="1:10" s="55" customFormat="1" ht="15.75" x14ac:dyDescent="0.25">
      <c r="A2" s="56" t="s">
        <v>167</v>
      </c>
    </row>
    <row r="3" spans="1:10" s="55" customFormat="1" x14ac:dyDescent="0.2"/>
    <row r="4" spans="1:10" s="55" customFormat="1" x14ac:dyDescent="0.2">
      <c r="A4" s="55" t="s">
        <v>178</v>
      </c>
      <c r="B4" s="57"/>
      <c r="C4" s="55" t="s">
        <v>179</v>
      </c>
    </row>
    <row r="5" spans="1:10" s="55" customFormat="1" x14ac:dyDescent="0.2"/>
    <row r="6" spans="1:10" ht="15" thickBot="1" x14ac:dyDescent="0.25">
      <c r="A6" s="53"/>
      <c r="B6" s="53"/>
      <c r="C6" s="53"/>
      <c r="D6" s="53"/>
      <c r="E6" s="53"/>
      <c r="F6" s="53"/>
      <c r="G6" s="53"/>
      <c r="H6" s="53"/>
      <c r="I6" s="53"/>
      <c r="J6" s="53"/>
    </row>
    <row r="7" spans="1:10" ht="15.75" thickTop="1" x14ac:dyDescent="0.25">
      <c r="A7" s="46" t="s">
        <v>207</v>
      </c>
      <c r="B7" s="43"/>
      <c r="C7" s="43"/>
      <c r="D7" s="43"/>
      <c r="E7" s="43"/>
      <c r="F7" s="43"/>
      <c r="G7" s="43"/>
      <c r="H7" s="43"/>
      <c r="I7" s="43"/>
      <c r="J7" s="43"/>
    </row>
    <row r="8" spans="1:10" ht="15" x14ac:dyDescent="0.25">
      <c r="A8" s="46" t="s">
        <v>208</v>
      </c>
      <c r="B8" s="43"/>
      <c r="C8" s="43"/>
      <c r="D8" s="43"/>
      <c r="E8" s="43"/>
      <c r="F8" s="43"/>
      <c r="G8" s="43"/>
      <c r="H8" s="43"/>
      <c r="I8" s="43"/>
      <c r="J8" s="43"/>
    </row>
    <row r="10" spans="1:10" ht="18" x14ac:dyDescent="0.25">
      <c r="A10" s="17" t="str">
        <f>+'1-Serie uit 0-lijst'!A1</f>
        <v>MiSeq Exp DL070</v>
      </c>
      <c r="C10" s="19" t="s">
        <v>34</v>
      </c>
    </row>
    <row r="11" spans="1:10" ht="15" thickBot="1" x14ac:dyDescent="0.25"/>
    <row r="12" spans="1:10" ht="46.5" thickTop="1" thickBot="1" x14ac:dyDescent="0.3">
      <c r="A12" s="274" t="s">
        <v>201</v>
      </c>
      <c r="B12" s="275"/>
      <c r="C12" s="97" t="s">
        <v>8</v>
      </c>
      <c r="D12" s="97" t="s">
        <v>194</v>
      </c>
      <c r="E12" s="97" t="s">
        <v>13</v>
      </c>
      <c r="F12" s="98" t="s">
        <v>209</v>
      </c>
      <c r="G12" s="98" t="s">
        <v>14</v>
      </c>
      <c r="H12" s="97" t="s">
        <v>51</v>
      </c>
      <c r="I12" s="99" t="s">
        <v>15</v>
      </c>
    </row>
    <row r="13" spans="1:10" ht="15.75" thickTop="1" thickBot="1" x14ac:dyDescent="0.25">
      <c r="A13" s="206" t="s">
        <v>303</v>
      </c>
      <c r="B13" s="93" t="s">
        <v>86</v>
      </c>
      <c r="C13" s="63" t="str">
        <f>+'5-Library met Index'!E6</f>
        <v>17D7796</v>
      </c>
      <c r="D13" s="63">
        <f>+'5-Library met Index'!F6</f>
        <v>184</v>
      </c>
      <c r="E13" s="63" t="str">
        <f>+'5-Library met Index'!G6</f>
        <v>DL</v>
      </c>
      <c r="F13" s="270">
        <v>42.9</v>
      </c>
      <c r="G13" s="271">
        <f>1000/40/F13</f>
        <v>0.58275058275058278</v>
      </c>
      <c r="H13" s="94"/>
      <c r="I13" s="95"/>
    </row>
    <row r="14" spans="1:10" ht="15.75" thickTop="1" thickBot="1" x14ac:dyDescent="0.25">
      <c r="A14" s="206" t="s">
        <v>303</v>
      </c>
      <c r="B14" s="88" t="s">
        <v>87</v>
      </c>
      <c r="C14" s="62" t="str">
        <f>+'5-Library met Index'!E7</f>
        <v>17D7859</v>
      </c>
      <c r="D14" s="62">
        <f>+'5-Library met Index'!F7</f>
        <v>185</v>
      </c>
      <c r="E14" s="62" t="str">
        <f>+'5-Library met Index'!G7</f>
        <v>DL</v>
      </c>
      <c r="F14" s="270">
        <v>47.7</v>
      </c>
      <c r="G14" s="271">
        <f t="shared" ref="G14:G52" si="0">1000/40/F14</f>
        <v>0.52410901467505233</v>
      </c>
      <c r="H14" s="87"/>
      <c r="I14" s="96"/>
    </row>
    <row r="15" spans="1:10" ht="15.75" thickTop="1" thickBot="1" x14ac:dyDescent="0.25">
      <c r="A15" s="206" t="s">
        <v>303</v>
      </c>
      <c r="B15" s="88" t="s">
        <v>88</v>
      </c>
      <c r="C15" s="62" t="str">
        <f>+'5-Library met Index'!E8</f>
        <v>17D7860</v>
      </c>
      <c r="D15" s="62">
        <f>+'5-Library met Index'!F8</f>
        <v>186</v>
      </c>
      <c r="E15" s="62" t="str">
        <f>+'5-Library met Index'!G8</f>
        <v>DL</v>
      </c>
      <c r="F15" s="270">
        <v>42.1</v>
      </c>
      <c r="G15" s="271">
        <f t="shared" si="0"/>
        <v>0.59382422802850354</v>
      </c>
      <c r="H15" s="87"/>
      <c r="I15" s="96"/>
    </row>
    <row r="16" spans="1:10" ht="15.75" thickTop="1" thickBot="1" x14ac:dyDescent="0.25">
      <c r="A16" s="206" t="s">
        <v>303</v>
      </c>
      <c r="B16" s="88" t="s">
        <v>89</v>
      </c>
      <c r="C16" s="62" t="str">
        <f>+'5-Library met Index'!E9</f>
        <v>17D7872</v>
      </c>
      <c r="D16" s="62">
        <f>+'5-Library met Index'!F9</f>
        <v>147</v>
      </c>
      <c r="E16" s="62" t="str">
        <f>+'5-Library met Index'!G9</f>
        <v>DL</v>
      </c>
      <c r="F16" s="270">
        <v>54.6</v>
      </c>
      <c r="G16" s="271">
        <f t="shared" si="0"/>
        <v>0.45787545787545786</v>
      </c>
      <c r="H16" s="87"/>
      <c r="I16" s="96"/>
    </row>
    <row r="17" spans="1:9" ht="15.75" thickTop="1" thickBot="1" x14ac:dyDescent="0.25">
      <c r="A17" s="206" t="s">
        <v>303</v>
      </c>
      <c r="B17" s="88" t="s">
        <v>90</v>
      </c>
      <c r="C17" s="62" t="str">
        <f>+'5-Library met Index'!E10</f>
        <v>17D7873</v>
      </c>
      <c r="D17" s="62">
        <f>+'5-Library met Index'!F10</f>
        <v>148</v>
      </c>
      <c r="E17" s="62" t="str">
        <f>+'5-Library met Index'!G10</f>
        <v>DL</v>
      </c>
      <c r="F17" s="270">
        <v>31.9</v>
      </c>
      <c r="G17" s="271">
        <f t="shared" si="0"/>
        <v>0.78369905956112851</v>
      </c>
      <c r="H17" s="87"/>
      <c r="I17" s="96"/>
    </row>
    <row r="18" spans="1:9" ht="15.75" thickTop="1" thickBot="1" x14ac:dyDescent="0.25">
      <c r="A18" s="206" t="s">
        <v>303</v>
      </c>
      <c r="B18" s="88" t="s">
        <v>91</v>
      </c>
      <c r="C18" s="62" t="str">
        <f>+'5-Library met Index'!E11</f>
        <v>17D7874</v>
      </c>
      <c r="D18" s="62">
        <f>+'5-Library met Index'!F11</f>
        <v>149</v>
      </c>
      <c r="E18" s="62" t="str">
        <f>+'5-Library met Index'!G11</f>
        <v>DL</v>
      </c>
      <c r="F18" s="270">
        <v>40.799999999999997</v>
      </c>
      <c r="G18" s="271">
        <f t="shared" si="0"/>
        <v>0.61274509803921573</v>
      </c>
      <c r="H18" s="87"/>
      <c r="I18" s="96"/>
    </row>
    <row r="19" spans="1:9" ht="15.75" thickTop="1" thickBot="1" x14ac:dyDescent="0.25">
      <c r="A19" s="206" t="s">
        <v>303</v>
      </c>
      <c r="B19" s="88" t="s">
        <v>92</v>
      </c>
      <c r="C19" s="62" t="str">
        <f>+'5-Library met Index'!E12</f>
        <v>17D7900</v>
      </c>
      <c r="D19" s="62">
        <f>+'5-Library met Index'!F12</f>
        <v>150</v>
      </c>
      <c r="E19" s="62" t="str">
        <f>+'5-Library met Index'!G12</f>
        <v>DL</v>
      </c>
      <c r="F19" s="270">
        <v>40</v>
      </c>
      <c r="G19" s="271">
        <f t="shared" si="0"/>
        <v>0.625</v>
      </c>
      <c r="H19" s="87"/>
      <c r="I19" s="96"/>
    </row>
    <row r="20" spans="1:9" ht="15.75" thickTop="1" thickBot="1" x14ac:dyDescent="0.25">
      <c r="A20" s="206" t="s">
        <v>303</v>
      </c>
      <c r="B20" s="88" t="s">
        <v>93</v>
      </c>
      <c r="C20" s="62" t="str">
        <f>+'5-Library met Index'!E13</f>
        <v>17D7901</v>
      </c>
      <c r="D20" s="62">
        <f>+'5-Library met Index'!F13</f>
        <v>151</v>
      </c>
      <c r="E20" s="62" t="str">
        <f>+'5-Library met Index'!G13</f>
        <v>DL</v>
      </c>
      <c r="F20" s="270">
        <v>45.1</v>
      </c>
      <c r="G20" s="271">
        <f t="shared" si="0"/>
        <v>0.55432372505543237</v>
      </c>
      <c r="H20" s="87"/>
      <c r="I20" s="96"/>
    </row>
    <row r="21" spans="1:9" ht="15.75" thickTop="1" thickBot="1" x14ac:dyDescent="0.25">
      <c r="A21" s="206" t="s">
        <v>303</v>
      </c>
      <c r="B21" s="88" t="s">
        <v>94</v>
      </c>
      <c r="C21" s="62" t="str">
        <f>+'5-Library met Index'!E14</f>
        <v>17D7905</v>
      </c>
      <c r="D21" s="62">
        <f>+'5-Library met Index'!F14</f>
        <v>152</v>
      </c>
      <c r="E21" s="62" t="str">
        <f>+'5-Library met Index'!G14</f>
        <v>DL</v>
      </c>
      <c r="F21" s="270">
        <v>41.6</v>
      </c>
      <c r="G21" s="271">
        <f t="shared" si="0"/>
        <v>0.60096153846153844</v>
      </c>
      <c r="H21" s="87"/>
      <c r="I21" s="96"/>
    </row>
    <row r="22" spans="1:9" ht="15.75" thickTop="1" thickBot="1" x14ac:dyDescent="0.25">
      <c r="A22" s="206" t="s">
        <v>303</v>
      </c>
      <c r="B22" s="88" t="s">
        <v>95</v>
      </c>
      <c r="C22" s="62" t="str">
        <f>+'5-Library met Index'!E15</f>
        <v>17D7908</v>
      </c>
      <c r="D22" s="62">
        <f>+'5-Library met Index'!F15</f>
        <v>153</v>
      </c>
      <c r="E22" s="62" t="str">
        <f>+'5-Library met Index'!G15</f>
        <v>DL</v>
      </c>
      <c r="F22" s="270">
        <v>40.4</v>
      </c>
      <c r="G22" s="271">
        <f t="shared" si="0"/>
        <v>0.61881188118811881</v>
      </c>
      <c r="H22" s="87"/>
      <c r="I22" s="96"/>
    </row>
    <row r="23" spans="1:9" ht="15.75" thickTop="1" thickBot="1" x14ac:dyDescent="0.25">
      <c r="A23" s="206" t="s">
        <v>303</v>
      </c>
      <c r="B23" s="88" t="s">
        <v>96</v>
      </c>
      <c r="C23" s="62" t="str">
        <f>+'5-Library met Index'!E16</f>
        <v>17D7952</v>
      </c>
      <c r="D23" s="62">
        <f>+'5-Library met Index'!F16</f>
        <v>154</v>
      </c>
      <c r="E23" s="62" t="str">
        <f>+'5-Library met Index'!G16</f>
        <v>DL</v>
      </c>
      <c r="F23" s="270">
        <v>58.4</v>
      </c>
      <c r="G23" s="271">
        <f t="shared" si="0"/>
        <v>0.42808219178082191</v>
      </c>
      <c r="H23" s="87"/>
      <c r="I23" s="96"/>
    </row>
    <row r="24" spans="1:9" ht="15.75" thickTop="1" thickBot="1" x14ac:dyDescent="0.25">
      <c r="A24" s="206" t="s">
        <v>303</v>
      </c>
      <c r="B24" s="88" t="s">
        <v>97</v>
      </c>
      <c r="C24" s="62" t="str">
        <f>+'5-Library met Index'!E17</f>
        <v>17D7953</v>
      </c>
      <c r="D24" s="62">
        <f>+'5-Library met Index'!F17</f>
        <v>155</v>
      </c>
      <c r="E24" s="62" t="str">
        <f>+'5-Library met Index'!G17</f>
        <v>DL</v>
      </c>
      <c r="F24" s="270">
        <v>48.3</v>
      </c>
      <c r="G24" s="271">
        <f t="shared" si="0"/>
        <v>0.51759834368530022</v>
      </c>
      <c r="H24" s="87"/>
      <c r="I24" s="96"/>
    </row>
    <row r="25" spans="1:9" ht="15.75" thickTop="1" thickBot="1" x14ac:dyDescent="0.25">
      <c r="A25" s="206" t="s">
        <v>303</v>
      </c>
      <c r="B25" s="88" t="s">
        <v>98</v>
      </c>
      <c r="C25" s="62" t="str">
        <f>+'5-Library met Index'!E18</f>
        <v>17D7954</v>
      </c>
      <c r="D25" s="62">
        <f>+'5-Library met Index'!F18</f>
        <v>156</v>
      </c>
      <c r="E25" s="62" t="str">
        <f>+'5-Library met Index'!G18</f>
        <v>DL</v>
      </c>
      <c r="F25" s="270">
        <v>42.8</v>
      </c>
      <c r="G25" s="271">
        <f t="shared" si="0"/>
        <v>0.58411214953271029</v>
      </c>
      <c r="H25" s="87"/>
      <c r="I25" s="96"/>
    </row>
    <row r="26" spans="1:9" ht="15.75" thickTop="1" thickBot="1" x14ac:dyDescent="0.25">
      <c r="A26" s="206" t="s">
        <v>303</v>
      </c>
      <c r="B26" s="206" t="s">
        <v>99</v>
      </c>
      <c r="C26" s="62" t="str">
        <f>+'5-Library met Index'!E19</f>
        <v>17D7955</v>
      </c>
      <c r="D26" s="62">
        <f>+'5-Library met Index'!F19</f>
        <v>157</v>
      </c>
      <c r="E26" s="62" t="str">
        <f>+'5-Library met Index'!G19</f>
        <v>DL</v>
      </c>
      <c r="F26" s="270">
        <v>38.9</v>
      </c>
      <c r="G26" s="271">
        <f t="shared" si="0"/>
        <v>0.64267352185089976</v>
      </c>
      <c r="H26" s="207"/>
      <c r="I26" s="141"/>
    </row>
    <row r="27" spans="1:9" ht="15.75" thickTop="1" thickBot="1" x14ac:dyDescent="0.25">
      <c r="A27" s="206" t="s">
        <v>303</v>
      </c>
      <c r="B27" s="206" t="s">
        <v>100</v>
      </c>
      <c r="C27" s="62" t="str">
        <f>+'5-Library met Index'!E20</f>
        <v>17D7959</v>
      </c>
      <c r="D27" s="62">
        <f>+'5-Library met Index'!F20</f>
        <v>158</v>
      </c>
      <c r="E27" s="62" t="str">
        <f>+'5-Library met Index'!G20</f>
        <v>DL</v>
      </c>
      <c r="F27" s="270">
        <v>44.7</v>
      </c>
      <c r="G27" s="271">
        <f t="shared" si="0"/>
        <v>0.5592841163310962</v>
      </c>
      <c r="H27" s="207"/>
      <c r="I27" s="141"/>
    </row>
    <row r="28" spans="1:9" ht="15.75" thickTop="1" thickBot="1" x14ac:dyDescent="0.25">
      <c r="A28" s="206" t="s">
        <v>303</v>
      </c>
      <c r="B28" s="206" t="s">
        <v>101</v>
      </c>
      <c r="C28" s="62" t="str">
        <f>+'5-Library met Index'!E21</f>
        <v>17D7960</v>
      </c>
      <c r="D28" s="62">
        <f>+'5-Library met Index'!F21</f>
        <v>159</v>
      </c>
      <c r="E28" s="62" t="str">
        <f>+'5-Library met Index'!G21</f>
        <v>DL</v>
      </c>
      <c r="F28" s="270">
        <v>38.9</v>
      </c>
      <c r="G28" s="271">
        <f t="shared" si="0"/>
        <v>0.64267352185089976</v>
      </c>
      <c r="H28" s="207"/>
      <c r="I28" s="141"/>
    </row>
    <row r="29" spans="1:9" ht="15.75" thickTop="1" thickBot="1" x14ac:dyDescent="0.25">
      <c r="A29" s="206" t="s">
        <v>303</v>
      </c>
      <c r="B29" s="206" t="s">
        <v>102</v>
      </c>
      <c r="C29" s="62" t="str">
        <f>+'5-Library met Index'!E22</f>
        <v>17D8000</v>
      </c>
      <c r="D29" s="62">
        <f>+'5-Library met Index'!F22</f>
        <v>160</v>
      </c>
      <c r="E29" s="62" t="str">
        <f>+'5-Library met Index'!G22</f>
        <v>DL</v>
      </c>
      <c r="F29" s="270">
        <v>47.2</v>
      </c>
      <c r="G29" s="271">
        <f t="shared" si="0"/>
        <v>0.52966101694915246</v>
      </c>
      <c r="H29" s="207"/>
      <c r="I29" s="141"/>
    </row>
    <row r="30" spans="1:9" ht="15.75" thickTop="1" thickBot="1" x14ac:dyDescent="0.25">
      <c r="A30" s="206" t="s">
        <v>303</v>
      </c>
      <c r="B30" s="206" t="s">
        <v>103</v>
      </c>
      <c r="C30" s="62" t="str">
        <f>+'5-Library met Index'!E23</f>
        <v>17D8001</v>
      </c>
      <c r="D30" s="62">
        <f>+'5-Library met Index'!F23</f>
        <v>161</v>
      </c>
      <c r="E30" s="62" t="str">
        <f>+'5-Library met Index'!G23</f>
        <v>DL</v>
      </c>
      <c r="F30" s="270">
        <v>45.6</v>
      </c>
      <c r="G30" s="271">
        <f t="shared" si="0"/>
        <v>0.54824561403508765</v>
      </c>
      <c r="H30" s="207"/>
      <c r="I30" s="141"/>
    </row>
    <row r="31" spans="1:9" ht="15.75" thickTop="1" thickBot="1" x14ac:dyDescent="0.25">
      <c r="A31" s="206" t="s">
        <v>303</v>
      </c>
      <c r="B31" s="206" t="s">
        <v>104</v>
      </c>
      <c r="C31" s="62" t="str">
        <f>+'5-Library met Index'!E24</f>
        <v>17D8007</v>
      </c>
      <c r="D31" s="62">
        <f>+'5-Library met Index'!F24</f>
        <v>162</v>
      </c>
      <c r="E31" s="62" t="str">
        <f>+'5-Library met Index'!G24</f>
        <v>DL</v>
      </c>
      <c r="F31" s="270">
        <v>46.7</v>
      </c>
      <c r="G31" s="271">
        <f t="shared" si="0"/>
        <v>0.53533190578158452</v>
      </c>
      <c r="H31" s="207"/>
      <c r="I31" s="141"/>
    </row>
    <row r="32" spans="1:9" ht="15.75" thickTop="1" thickBot="1" x14ac:dyDescent="0.25">
      <c r="A32" s="206" t="s">
        <v>303</v>
      </c>
      <c r="B32" s="206" t="s">
        <v>105</v>
      </c>
      <c r="C32" s="62" t="str">
        <f>+'5-Library met Index'!E25</f>
        <v>17D8008</v>
      </c>
      <c r="D32" s="62">
        <f>+'5-Library met Index'!F25</f>
        <v>163</v>
      </c>
      <c r="E32" s="62" t="str">
        <f>+'5-Library met Index'!G25</f>
        <v>DL</v>
      </c>
      <c r="F32" s="270">
        <v>37.1</v>
      </c>
      <c r="G32" s="271">
        <f t="shared" si="0"/>
        <v>0.67385444743935308</v>
      </c>
      <c r="H32" s="207"/>
      <c r="I32" s="141"/>
    </row>
    <row r="33" spans="1:9" ht="15.75" thickTop="1" thickBot="1" x14ac:dyDescent="0.25">
      <c r="A33" s="206" t="s">
        <v>303</v>
      </c>
      <c r="B33" s="206" t="s">
        <v>106</v>
      </c>
      <c r="C33" s="62" t="str">
        <f>+'5-Library met Index'!E26</f>
        <v>17D8009</v>
      </c>
      <c r="D33" s="62">
        <f>+'5-Library met Index'!F26</f>
        <v>164</v>
      </c>
      <c r="E33" s="62" t="str">
        <f>+'5-Library met Index'!G26</f>
        <v>DL</v>
      </c>
      <c r="F33" s="270">
        <v>44.3</v>
      </c>
      <c r="G33" s="271">
        <f t="shared" si="0"/>
        <v>0.56433408577878108</v>
      </c>
      <c r="H33" s="207"/>
      <c r="I33" s="141"/>
    </row>
    <row r="34" spans="1:9" ht="15.75" thickTop="1" thickBot="1" x14ac:dyDescent="0.25">
      <c r="A34" s="206" t="s">
        <v>303</v>
      </c>
      <c r="B34" s="206" t="s">
        <v>107</v>
      </c>
      <c r="C34" s="62" t="str">
        <f>+'5-Library met Index'!E27</f>
        <v>17D8010</v>
      </c>
      <c r="D34" s="62">
        <f>+'5-Library met Index'!F27</f>
        <v>165</v>
      </c>
      <c r="E34" s="62" t="str">
        <f>+'5-Library met Index'!G27</f>
        <v>DL</v>
      </c>
      <c r="F34" s="270">
        <v>40.5</v>
      </c>
      <c r="G34" s="271">
        <f t="shared" si="0"/>
        <v>0.61728395061728392</v>
      </c>
      <c r="H34" s="207"/>
      <c r="I34" s="141"/>
    </row>
    <row r="35" spans="1:9" ht="15.75" thickTop="1" thickBot="1" x14ac:dyDescent="0.25">
      <c r="A35" s="206" t="s">
        <v>303</v>
      </c>
      <c r="B35" s="206" t="s">
        <v>108</v>
      </c>
      <c r="C35" s="62" t="str">
        <f>+'5-Library met Index'!E28</f>
        <v>17D8011</v>
      </c>
      <c r="D35" s="62">
        <f>+'5-Library met Index'!F28</f>
        <v>166</v>
      </c>
      <c r="E35" s="62" t="str">
        <f>+'5-Library met Index'!G28</f>
        <v>DL</v>
      </c>
      <c r="F35" s="270">
        <v>45.6</v>
      </c>
      <c r="G35" s="271">
        <f t="shared" si="0"/>
        <v>0.54824561403508765</v>
      </c>
      <c r="H35" s="207"/>
      <c r="I35" s="141"/>
    </row>
    <row r="36" spans="1:9" ht="15.75" thickTop="1" thickBot="1" x14ac:dyDescent="0.25">
      <c r="A36" s="206" t="s">
        <v>303</v>
      </c>
      <c r="B36" s="206" t="s">
        <v>109</v>
      </c>
      <c r="C36" s="62" t="str">
        <f>+'5-Library met Index'!E29</f>
        <v>17D8020</v>
      </c>
      <c r="D36" s="62">
        <f>+'5-Library met Index'!F29</f>
        <v>167</v>
      </c>
      <c r="E36" s="62" t="str">
        <f>+'5-Library met Index'!G29</f>
        <v>DL</v>
      </c>
      <c r="F36" s="270">
        <v>44.4</v>
      </c>
      <c r="G36" s="271">
        <f t="shared" si="0"/>
        <v>0.56306306306306309</v>
      </c>
      <c r="H36" s="207"/>
      <c r="I36" s="141"/>
    </row>
    <row r="37" spans="1:9" ht="15.75" thickTop="1" thickBot="1" x14ac:dyDescent="0.25">
      <c r="A37" s="206" t="s">
        <v>303</v>
      </c>
      <c r="B37" s="206" t="s">
        <v>110</v>
      </c>
      <c r="C37" s="62" t="str">
        <f>+'5-Library met Index'!E30</f>
        <v>17D8022</v>
      </c>
      <c r="D37" s="62">
        <f>+'5-Library met Index'!F30</f>
        <v>168</v>
      </c>
      <c r="E37" s="62" t="str">
        <f>+'5-Library met Index'!G30</f>
        <v>DL</v>
      </c>
      <c r="F37" s="270">
        <v>43.5</v>
      </c>
      <c r="G37" s="271">
        <f t="shared" si="0"/>
        <v>0.57471264367816088</v>
      </c>
      <c r="H37" s="207"/>
      <c r="I37" s="141"/>
    </row>
    <row r="38" spans="1:9" ht="15.75" thickTop="1" thickBot="1" x14ac:dyDescent="0.25">
      <c r="A38" s="206" t="s">
        <v>303</v>
      </c>
      <c r="B38" s="206" t="s">
        <v>111</v>
      </c>
      <c r="C38" s="62" t="str">
        <f>+'5-Library met Index'!E31</f>
        <v>17D8063</v>
      </c>
      <c r="D38" s="62">
        <f>+'5-Library met Index'!F31</f>
        <v>169</v>
      </c>
      <c r="E38" s="62" t="str">
        <f>+'5-Library met Index'!G31</f>
        <v>DL</v>
      </c>
      <c r="F38" s="270">
        <v>46.9</v>
      </c>
      <c r="G38" s="271">
        <f t="shared" si="0"/>
        <v>0.53304904051172708</v>
      </c>
      <c r="H38" s="207"/>
      <c r="I38" s="141"/>
    </row>
    <row r="39" spans="1:9" ht="15.75" thickTop="1" thickBot="1" x14ac:dyDescent="0.25">
      <c r="A39" s="206" t="s">
        <v>303</v>
      </c>
      <c r="B39" s="206" t="s">
        <v>112</v>
      </c>
      <c r="C39" s="62" t="str">
        <f>+'5-Library met Index'!E32</f>
        <v>17D8064</v>
      </c>
      <c r="D39" s="62">
        <f>+'5-Library met Index'!F32</f>
        <v>170</v>
      </c>
      <c r="E39" s="62" t="str">
        <f>+'5-Library met Index'!G32</f>
        <v>DL</v>
      </c>
      <c r="F39" s="270">
        <v>47.7</v>
      </c>
      <c r="G39" s="271">
        <f t="shared" si="0"/>
        <v>0.52410901467505233</v>
      </c>
      <c r="H39" s="207"/>
      <c r="I39" s="141"/>
    </row>
    <row r="40" spans="1:9" ht="15.75" thickTop="1" thickBot="1" x14ac:dyDescent="0.25">
      <c r="A40" s="206" t="s">
        <v>303</v>
      </c>
      <c r="B40" s="206" t="s">
        <v>113</v>
      </c>
      <c r="C40" s="62" t="str">
        <f>+'5-Library met Index'!E33</f>
        <v>17D8065</v>
      </c>
      <c r="D40" s="62">
        <f>+'5-Library met Index'!F33</f>
        <v>171</v>
      </c>
      <c r="E40" s="62" t="str">
        <f>+'5-Library met Index'!G33</f>
        <v>DL</v>
      </c>
      <c r="F40" s="270">
        <v>44.1</v>
      </c>
      <c r="G40" s="271">
        <f t="shared" si="0"/>
        <v>0.56689342403628118</v>
      </c>
      <c r="H40" s="207"/>
      <c r="I40" s="141"/>
    </row>
    <row r="41" spans="1:9" ht="15.75" thickTop="1" thickBot="1" x14ac:dyDescent="0.25">
      <c r="A41" s="206" t="s">
        <v>303</v>
      </c>
      <c r="B41" s="206" t="s">
        <v>114</v>
      </c>
      <c r="C41" s="62" t="str">
        <f>+'5-Library met Index'!E34</f>
        <v>17D8066</v>
      </c>
      <c r="D41" s="62">
        <f>+'5-Library met Index'!F34</f>
        <v>172</v>
      </c>
      <c r="E41" s="62" t="str">
        <f>+'5-Library met Index'!G34</f>
        <v>DL</v>
      </c>
      <c r="F41" s="270">
        <v>35.4</v>
      </c>
      <c r="G41" s="271">
        <f t="shared" si="0"/>
        <v>0.70621468926553677</v>
      </c>
      <c r="H41" s="207"/>
      <c r="I41" s="141"/>
    </row>
    <row r="42" spans="1:9" ht="15.75" thickTop="1" thickBot="1" x14ac:dyDescent="0.25">
      <c r="A42" s="206" t="s">
        <v>303</v>
      </c>
      <c r="B42" s="206" t="s">
        <v>115</v>
      </c>
      <c r="C42" s="62" t="str">
        <f>+'5-Library met Index'!E35</f>
        <v>17D8077</v>
      </c>
      <c r="D42" s="62">
        <f>+'5-Library met Index'!F35</f>
        <v>173</v>
      </c>
      <c r="E42" s="62" t="str">
        <f>+'5-Library met Index'!G35</f>
        <v>DL</v>
      </c>
      <c r="F42" s="270">
        <v>40.4</v>
      </c>
      <c r="G42" s="271">
        <f t="shared" si="0"/>
        <v>0.61881188118811881</v>
      </c>
      <c r="H42" s="207"/>
      <c r="I42" s="141"/>
    </row>
    <row r="43" spans="1:9" ht="15.75" thickTop="1" thickBot="1" x14ac:dyDescent="0.25">
      <c r="A43" s="206" t="s">
        <v>303</v>
      </c>
      <c r="B43" s="206" t="s">
        <v>116</v>
      </c>
      <c r="C43" s="62" t="str">
        <f>+'5-Library met Index'!E36</f>
        <v>17D8082</v>
      </c>
      <c r="D43" s="62">
        <f>+'5-Library met Index'!F36</f>
        <v>174</v>
      </c>
      <c r="E43" s="62" t="str">
        <f>+'5-Library met Index'!G36</f>
        <v>DL</v>
      </c>
      <c r="F43" s="270">
        <v>47.2</v>
      </c>
      <c r="G43" s="271">
        <f t="shared" si="0"/>
        <v>0.52966101694915246</v>
      </c>
      <c r="H43" s="207"/>
      <c r="I43" s="141"/>
    </row>
    <row r="44" spans="1:9" ht="15.75" thickTop="1" thickBot="1" x14ac:dyDescent="0.25">
      <c r="A44" s="206" t="s">
        <v>303</v>
      </c>
      <c r="B44" s="206" t="s">
        <v>117</v>
      </c>
      <c r="C44" s="62" t="str">
        <f>+'5-Library met Index'!E37</f>
        <v>17D8113</v>
      </c>
      <c r="D44" s="62">
        <f>+'5-Library met Index'!F37</f>
        <v>175</v>
      </c>
      <c r="E44" s="62" t="str">
        <f>+'5-Library met Index'!G37</f>
        <v>DL</v>
      </c>
      <c r="F44" s="270">
        <v>30.3</v>
      </c>
      <c r="G44" s="271">
        <f t="shared" si="0"/>
        <v>0.82508250825082508</v>
      </c>
      <c r="H44" s="207"/>
      <c r="I44" s="141"/>
    </row>
    <row r="45" spans="1:9" ht="15.75" thickTop="1" thickBot="1" x14ac:dyDescent="0.25">
      <c r="A45" s="206" t="s">
        <v>303</v>
      </c>
      <c r="B45" s="206" t="s">
        <v>118</v>
      </c>
      <c r="C45" s="62" t="str">
        <f>+'5-Library met Index'!E38</f>
        <v>17D8114</v>
      </c>
      <c r="D45" s="62">
        <f>+'5-Library met Index'!F38</f>
        <v>176</v>
      </c>
      <c r="E45" s="62" t="str">
        <f>+'5-Library met Index'!G38</f>
        <v>DL</v>
      </c>
      <c r="F45" s="270">
        <v>46.7</v>
      </c>
      <c r="G45" s="271">
        <f t="shared" si="0"/>
        <v>0.53533190578158452</v>
      </c>
      <c r="H45" s="207"/>
      <c r="I45" s="141"/>
    </row>
    <row r="46" spans="1:9" ht="15.75" thickTop="1" thickBot="1" x14ac:dyDescent="0.25">
      <c r="A46" s="206" t="s">
        <v>303</v>
      </c>
      <c r="B46" s="206" t="s">
        <v>119</v>
      </c>
      <c r="C46" s="62" t="str">
        <f>+'5-Library met Index'!E39</f>
        <v>17D8115</v>
      </c>
      <c r="D46" s="62">
        <f>+'5-Library met Index'!F39</f>
        <v>177</v>
      </c>
      <c r="E46" s="62" t="str">
        <f>+'5-Library met Index'!G39</f>
        <v>DL</v>
      </c>
      <c r="F46" s="270">
        <v>37.299999999999997</v>
      </c>
      <c r="G46" s="271">
        <f t="shared" si="0"/>
        <v>0.67024128686327078</v>
      </c>
      <c r="H46" s="207"/>
      <c r="I46" s="141"/>
    </row>
    <row r="47" spans="1:9" ht="15.75" thickTop="1" thickBot="1" x14ac:dyDescent="0.25">
      <c r="A47" s="206" t="s">
        <v>303</v>
      </c>
      <c r="B47" s="206" t="s">
        <v>120</v>
      </c>
      <c r="C47" s="62" t="str">
        <f>+'5-Library met Index'!E40</f>
        <v>17D8117</v>
      </c>
      <c r="D47" s="62">
        <f>+'5-Library met Index'!F40</f>
        <v>178</v>
      </c>
      <c r="E47" s="62" t="str">
        <f>+'5-Library met Index'!G40</f>
        <v>DL</v>
      </c>
      <c r="F47" s="270">
        <v>43.2</v>
      </c>
      <c r="G47" s="271">
        <f t="shared" si="0"/>
        <v>0.57870370370370372</v>
      </c>
      <c r="H47" s="207"/>
      <c r="I47" s="141"/>
    </row>
    <row r="48" spans="1:9" ht="15.75" thickTop="1" thickBot="1" x14ac:dyDescent="0.25">
      <c r="A48" s="206" t="s">
        <v>303</v>
      </c>
      <c r="B48" s="206" t="s">
        <v>121</v>
      </c>
      <c r="C48" s="62" t="str">
        <f>+'5-Library met Index'!E41</f>
        <v>17D8127</v>
      </c>
      <c r="D48" s="62">
        <f>+'5-Library met Index'!F41</f>
        <v>179</v>
      </c>
      <c r="E48" s="62" t="str">
        <f>+'5-Library met Index'!G41</f>
        <v>DL</v>
      </c>
      <c r="F48" s="270">
        <v>39.4</v>
      </c>
      <c r="G48" s="271">
        <f t="shared" si="0"/>
        <v>0.63451776649746194</v>
      </c>
      <c r="H48" s="207"/>
      <c r="I48" s="141"/>
    </row>
    <row r="49" spans="1:9" ht="15.75" thickTop="1" thickBot="1" x14ac:dyDescent="0.25">
      <c r="A49" s="206" t="s">
        <v>303</v>
      </c>
      <c r="B49" s="206" t="s">
        <v>122</v>
      </c>
      <c r="C49" s="62" t="str">
        <f>+'5-Library met Index'!E42</f>
        <v>17D8130</v>
      </c>
      <c r="D49" s="62">
        <f>+'5-Library met Index'!F42</f>
        <v>180</v>
      </c>
      <c r="E49" s="62" t="str">
        <f>+'5-Library met Index'!G42</f>
        <v>DL</v>
      </c>
      <c r="F49" s="270">
        <v>36.9</v>
      </c>
      <c r="G49" s="271">
        <f t="shared" si="0"/>
        <v>0.6775067750677507</v>
      </c>
      <c r="H49" s="207"/>
      <c r="I49" s="141"/>
    </row>
    <row r="50" spans="1:9" ht="15.75" thickTop="1" thickBot="1" x14ac:dyDescent="0.25">
      <c r="A50" s="206" t="s">
        <v>303</v>
      </c>
      <c r="B50" s="206" t="s">
        <v>123</v>
      </c>
      <c r="C50" s="62" t="str">
        <f>+'5-Library met Index'!E43</f>
        <v>17D8131</v>
      </c>
      <c r="D50" s="62">
        <f>+'5-Library met Index'!F43</f>
        <v>181</v>
      </c>
      <c r="E50" s="62" t="str">
        <f>+'5-Library met Index'!G43</f>
        <v>DL</v>
      </c>
      <c r="F50" s="270">
        <v>34</v>
      </c>
      <c r="G50" s="271">
        <f t="shared" si="0"/>
        <v>0.73529411764705888</v>
      </c>
      <c r="H50" s="207"/>
      <c r="I50" s="141"/>
    </row>
    <row r="51" spans="1:9" ht="15.75" thickTop="1" thickBot="1" x14ac:dyDescent="0.25">
      <c r="A51" s="206" t="s">
        <v>303</v>
      </c>
      <c r="B51" s="206" t="s">
        <v>124</v>
      </c>
      <c r="C51" s="62" t="str">
        <f>+'5-Library met Index'!E44</f>
        <v>17D8181</v>
      </c>
      <c r="D51" s="62">
        <f>+'5-Library met Index'!F44</f>
        <v>182</v>
      </c>
      <c r="E51" s="62" t="str">
        <f>+'5-Library met Index'!G44</f>
        <v>DL</v>
      </c>
      <c r="F51" s="270">
        <v>40</v>
      </c>
      <c r="G51" s="271">
        <f t="shared" si="0"/>
        <v>0.625</v>
      </c>
      <c r="H51" s="207"/>
      <c r="I51" s="141"/>
    </row>
    <row r="52" spans="1:9" ht="15.75" thickTop="1" thickBot="1" x14ac:dyDescent="0.25">
      <c r="A52" s="206" t="s">
        <v>303</v>
      </c>
      <c r="B52" s="206" t="s">
        <v>125</v>
      </c>
      <c r="C52" s="62" t="str">
        <f>+'5-Library met Index'!E45</f>
        <v>17D8188</v>
      </c>
      <c r="D52" s="62">
        <f>+'5-Library met Index'!F45</f>
        <v>183</v>
      </c>
      <c r="E52" s="62" t="str">
        <f>+'5-Library met Index'!G45</f>
        <v>DL</v>
      </c>
      <c r="F52" s="270">
        <v>36.700000000000003</v>
      </c>
      <c r="G52" s="271">
        <f t="shared" si="0"/>
        <v>0.68119891008174382</v>
      </c>
      <c r="H52" s="207"/>
      <c r="I52" s="141"/>
    </row>
    <row r="53" spans="1:9" x14ac:dyDescent="0.2">
      <c r="A53" s="91"/>
      <c r="B53" s="206"/>
      <c r="C53" s="62">
        <f>+'5-Library met Index'!E46</f>
        <v>0</v>
      </c>
      <c r="D53" s="62">
        <f>+'5-Library met Index'!F46</f>
        <v>0</v>
      </c>
      <c r="E53" s="62">
        <f>+'5-Library met Index'!G46</f>
        <v>0</v>
      </c>
      <c r="F53" s="207"/>
      <c r="G53" s="207"/>
      <c r="H53" s="207"/>
      <c r="I53" s="141"/>
    </row>
    <row r="54" spans="1:9" x14ac:dyDescent="0.2">
      <c r="A54" s="91"/>
      <c r="B54" s="206"/>
      <c r="C54" s="62">
        <f>+'5-Library met Index'!E47</f>
        <v>0</v>
      </c>
      <c r="D54" s="62">
        <f>+'5-Library met Index'!F47</f>
        <v>0</v>
      </c>
      <c r="E54" s="62">
        <f>+'5-Library met Index'!G47</f>
        <v>0</v>
      </c>
      <c r="F54" s="207"/>
      <c r="G54" s="207"/>
      <c r="H54" s="207"/>
      <c r="I54" s="141"/>
    </row>
    <row r="55" spans="1:9" x14ac:dyDescent="0.2">
      <c r="A55" s="91"/>
      <c r="B55" s="206"/>
      <c r="C55" s="62">
        <f>+'5-Library met Index'!E48</f>
        <v>0</v>
      </c>
      <c r="D55" s="62">
        <f>+'5-Library met Index'!F48</f>
        <v>0</v>
      </c>
      <c r="E55" s="62">
        <f>+'5-Library met Index'!G48</f>
        <v>0</v>
      </c>
      <c r="F55" s="207"/>
      <c r="G55" s="207"/>
      <c r="H55" s="207"/>
      <c r="I55" s="141"/>
    </row>
    <row r="56" spans="1:9" x14ac:dyDescent="0.2">
      <c r="A56" s="91"/>
      <c r="B56" s="206"/>
      <c r="C56" s="62">
        <f>+'5-Library met Index'!E49</f>
        <v>0</v>
      </c>
      <c r="D56" s="62">
        <f>+'5-Library met Index'!F49</f>
        <v>0</v>
      </c>
      <c r="E56" s="62">
        <f>+'5-Library met Index'!G49</f>
        <v>0</v>
      </c>
      <c r="F56" s="207"/>
      <c r="G56" s="207"/>
      <c r="H56" s="207"/>
      <c r="I56" s="141"/>
    </row>
    <row r="57" spans="1:9" x14ac:dyDescent="0.2">
      <c r="A57" s="91"/>
      <c r="B57" s="206"/>
      <c r="C57" s="62">
        <f>+'5-Library met Index'!E50</f>
        <v>0</v>
      </c>
      <c r="D57" s="62">
        <f>+'5-Library met Index'!F50</f>
        <v>0</v>
      </c>
      <c r="E57" s="62">
        <f>+'5-Library met Index'!G50</f>
        <v>0</v>
      </c>
      <c r="F57" s="207"/>
      <c r="G57" s="207"/>
      <c r="H57" s="207"/>
      <c r="I57" s="141"/>
    </row>
    <row r="58" spans="1:9" x14ac:dyDescent="0.2">
      <c r="A58" s="91"/>
      <c r="B58" s="206"/>
      <c r="C58" s="62">
        <f>+'5-Library met Index'!E51</f>
        <v>0</v>
      </c>
      <c r="D58" s="62">
        <f>+'5-Library met Index'!F51</f>
        <v>0</v>
      </c>
      <c r="E58" s="62">
        <f>+'5-Library met Index'!G51</f>
        <v>0</v>
      </c>
      <c r="F58" s="207"/>
      <c r="G58" s="207"/>
      <c r="H58" s="207"/>
      <c r="I58" s="141"/>
    </row>
    <row r="59" spans="1:9" x14ac:dyDescent="0.2">
      <c r="A59" s="91"/>
      <c r="B59" s="206"/>
      <c r="C59" s="62">
        <f>+'5-Library met Index'!E52</f>
        <v>0</v>
      </c>
      <c r="D59" s="62">
        <f>+'5-Library met Index'!F52</f>
        <v>0</v>
      </c>
      <c r="E59" s="62">
        <f>+'5-Library met Index'!G52</f>
        <v>0</v>
      </c>
      <c r="F59" s="207"/>
      <c r="G59" s="207"/>
      <c r="H59" s="207"/>
      <c r="I59" s="141"/>
    </row>
    <row r="60" spans="1:9" x14ac:dyDescent="0.2">
      <c r="A60" s="91"/>
      <c r="B60" s="88"/>
      <c r="C60" s="62">
        <f>+'5-Library met Index'!E53</f>
        <v>0</v>
      </c>
      <c r="D60" s="62">
        <f>+'5-Library met Index'!F53</f>
        <v>0</v>
      </c>
      <c r="E60" s="62">
        <f>+'5-Library met Index'!G53</f>
        <v>0</v>
      </c>
      <c r="F60" s="87"/>
      <c r="G60" s="87"/>
      <c r="H60" s="87"/>
      <c r="I60" s="96"/>
    </row>
    <row r="61" spans="1:9" x14ac:dyDescent="0.2">
      <c r="A61" s="91"/>
      <c r="B61" s="88"/>
      <c r="C61" s="62">
        <f>+'5-Library met Index'!E54</f>
        <v>0</v>
      </c>
      <c r="D61" s="62">
        <f>+'5-Library met Index'!F54</f>
        <v>0</v>
      </c>
      <c r="E61" s="62">
        <f>+'5-Library met Index'!G54</f>
        <v>0</v>
      </c>
      <c r="F61" s="87"/>
      <c r="G61" s="87"/>
      <c r="H61" s="87"/>
      <c r="I61" s="96"/>
    </row>
    <row r="62" spans="1:9" x14ac:dyDescent="0.2">
      <c r="A62" s="91"/>
      <c r="B62" s="88"/>
      <c r="C62" s="62">
        <f>+'5-Library met Index'!E55</f>
        <v>0</v>
      </c>
      <c r="D62" s="62">
        <f>+'5-Library met Index'!F55</f>
        <v>0</v>
      </c>
      <c r="E62" s="62">
        <f>+'5-Library met Index'!G55</f>
        <v>0</v>
      </c>
      <c r="F62" s="87"/>
      <c r="G62" s="87"/>
      <c r="H62" s="87"/>
      <c r="I62" s="96"/>
    </row>
    <row r="63" spans="1:9" x14ac:dyDescent="0.2">
      <c r="A63" s="91"/>
      <c r="B63" s="88"/>
      <c r="C63" s="62">
        <f>+'5-Library met Index'!E56</f>
        <v>0</v>
      </c>
      <c r="D63" s="62">
        <f>+'5-Library met Index'!F56</f>
        <v>0</v>
      </c>
      <c r="E63" s="62">
        <f>+'5-Library met Index'!G56</f>
        <v>0</v>
      </c>
      <c r="F63" s="87"/>
      <c r="G63" s="87"/>
      <c r="H63" s="87"/>
      <c r="I63" s="96"/>
    </row>
    <row r="64" spans="1:9" x14ac:dyDescent="0.2">
      <c r="A64" s="91"/>
      <c r="B64" s="206"/>
      <c r="C64" s="62">
        <f>+'5-Library met Index'!E57</f>
        <v>0</v>
      </c>
      <c r="D64" s="62">
        <f>+'5-Library met Index'!F57</f>
        <v>0</v>
      </c>
      <c r="E64" s="62">
        <f>+'5-Library met Index'!G57</f>
        <v>0</v>
      </c>
      <c r="F64" s="207"/>
      <c r="G64" s="207"/>
      <c r="H64" s="207"/>
      <c r="I64" s="141"/>
    </row>
    <row r="65" spans="1:9" x14ac:dyDescent="0.2">
      <c r="A65" s="91"/>
      <c r="B65" s="206"/>
      <c r="C65" s="62">
        <f>+'5-Library met Index'!E58</f>
        <v>0</v>
      </c>
      <c r="D65" s="62">
        <f>+'5-Library met Index'!F58</f>
        <v>0</v>
      </c>
      <c r="E65" s="62">
        <f>+'5-Library met Index'!G58</f>
        <v>0</v>
      </c>
      <c r="F65" s="207"/>
      <c r="G65" s="207"/>
      <c r="H65" s="207"/>
      <c r="I65" s="141"/>
    </row>
    <row r="66" spans="1:9" x14ac:dyDescent="0.2">
      <c r="A66" s="91"/>
      <c r="B66" s="88"/>
      <c r="C66" s="62">
        <f>+'5-Library met Index'!E59</f>
        <v>0</v>
      </c>
      <c r="D66" s="62">
        <f>+'5-Library met Index'!F59</f>
        <v>0</v>
      </c>
      <c r="E66" s="62">
        <f>+'5-Library met Index'!G59</f>
        <v>0</v>
      </c>
      <c r="F66" s="87"/>
      <c r="G66" s="87"/>
      <c r="H66" s="87"/>
      <c r="I66" s="96"/>
    </row>
    <row r="67" spans="1:9" x14ac:dyDescent="0.2">
      <c r="A67" s="91"/>
      <c r="B67" s="88"/>
      <c r="C67" s="62">
        <f>+'5-Library met Index'!E60</f>
        <v>0</v>
      </c>
      <c r="D67" s="62">
        <f>+'5-Library met Index'!F60</f>
        <v>0</v>
      </c>
      <c r="E67" s="62">
        <f>+'5-Library met Index'!G60</f>
        <v>0</v>
      </c>
      <c r="F67" s="87"/>
      <c r="G67" s="87"/>
      <c r="H67" s="87"/>
      <c r="I67" s="96"/>
    </row>
    <row r="68" spans="1:9" x14ac:dyDescent="0.2">
      <c r="A68" s="91"/>
      <c r="B68" s="139"/>
      <c r="C68" s="62">
        <f>+'5-Library met Index'!E61</f>
        <v>0</v>
      </c>
      <c r="D68" s="62">
        <f>+'5-Library met Index'!F61</f>
        <v>0</v>
      </c>
      <c r="E68" s="62">
        <f>+'5-Library met Index'!G61</f>
        <v>0</v>
      </c>
      <c r="F68" s="140"/>
      <c r="G68" s="140"/>
      <c r="H68" s="140"/>
      <c r="I68" s="141"/>
    </row>
    <row r="69" spans="1:9" x14ac:dyDescent="0.2">
      <c r="A69" s="135"/>
      <c r="B69" s="136"/>
      <c r="C69" s="62">
        <f>+'5-Library met Index'!E62</f>
        <v>0</v>
      </c>
      <c r="D69" s="62">
        <f>+'5-Library met Index'!F62</f>
        <v>0</v>
      </c>
      <c r="E69" s="62">
        <f>+'5-Library met Index'!G62</f>
        <v>0</v>
      </c>
      <c r="F69" s="137"/>
      <c r="G69" s="137"/>
      <c r="H69" s="137"/>
      <c r="I69" s="138"/>
    </row>
    <row r="70" spans="1:9" x14ac:dyDescent="0.2">
      <c r="A70" s="91"/>
      <c r="B70" s="88"/>
      <c r="C70" s="62">
        <f>+'5-Library met Index'!E63</f>
        <v>0</v>
      </c>
      <c r="D70" s="62">
        <f>+'5-Library met Index'!F63</f>
        <v>0</v>
      </c>
      <c r="E70" s="62">
        <f>+'5-Library met Index'!G63</f>
        <v>0</v>
      </c>
      <c r="F70" s="87"/>
      <c r="G70" s="87"/>
      <c r="H70" s="87"/>
      <c r="I70" s="96"/>
    </row>
    <row r="71" spans="1:9" x14ac:dyDescent="0.2">
      <c r="A71" s="91"/>
      <c r="B71" s="139"/>
      <c r="C71" s="62">
        <f>+'5-Library met Index'!E64</f>
        <v>0</v>
      </c>
      <c r="D71" s="62">
        <f>+'5-Library met Index'!F64</f>
        <v>0</v>
      </c>
      <c r="E71" s="62">
        <f>+'5-Library met Index'!G64</f>
        <v>0</v>
      </c>
      <c r="F71" s="140"/>
      <c r="G71" s="140"/>
      <c r="H71" s="140"/>
      <c r="I71" s="141"/>
    </row>
    <row r="72" spans="1:9" ht="15" thickBot="1" x14ac:dyDescent="0.25">
      <c r="A72" s="92"/>
      <c r="B72" s="142"/>
      <c r="C72" s="143">
        <f>+'5-Library met Index'!E65</f>
        <v>0</v>
      </c>
      <c r="D72" s="143">
        <f>+'5-Library met Index'!F65</f>
        <v>0</v>
      </c>
      <c r="E72" s="143">
        <f>+'5-Library met Index'!G65</f>
        <v>0</v>
      </c>
      <c r="F72" s="144"/>
      <c r="G72" s="144"/>
      <c r="H72" s="144"/>
      <c r="I72" s="145"/>
    </row>
    <row r="73" spans="1:9" ht="15" thickTop="1" x14ac:dyDescent="0.2"/>
    <row r="74" spans="1:9" ht="15" customHeight="1" x14ac:dyDescent="0.2"/>
    <row r="75" spans="1:9" ht="15" customHeight="1" x14ac:dyDescent="0.2"/>
    <row r="76" spans="1:9" ht="15" customHeight="1" x14ac:dyDescent="0.2"/>
    <row r="77" spans="1:9" ht="15" customHeight="1" x14ac:dyDescent="0.2"/>
    <row r="78" spans="1:9" ht="15" customHeight="1" x14ac:dyDescent="0.2"/>
    <row r="79" spans="1:9" ht="15" customHeight="1" x14ac:dyDescent="0.2"/>
    <row r="80" spans="1:9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spans="1:9" ht="15" customHeight="1" x14ac:dyDescent="0.2"/>
    <row r="98" spans="1:9" ht="15" customHeight="1" x14ac:dyDescent="0.2"/>
    <row r="99" spans="1:9" ht="15" customHeight="1" x14ac:dyDescent="0.2"/>
    <row r="100" spans="1:9" ht="15" customHeight="1" x14ac:dyDescent="0.2"/>
    <row r="101" spans="1:9" ht="15" customHeight="1" x14ac:dyDescent="0.2"/>
    <row r="102" spans="1:9" ht="15" customHeight="1" x14ac:dyDescent="0.2"/>
    <row r="103" spans="1:9" ht="15" customHeight="1" x14ac:dyDescent="0.2"/>
    <row r="104" spans="1:9" ht="15" customHeight="1" x14ac:dyDescent="0.2"/>
    <row r="105" spans="1:9" ht="15" customHeight="1" x14ac:dyDescent="0.2"/>
    <row r="106" spans="1:9" ht="15" customHeight="1" x14ac:dyDescent="0.2"/>
    <row r="108" spans="1:9" ht="15" x14ac:dyDescent="0.25">
      <c r="A108" s="157" t="s">
        <v>203</v>
      </c>
      <c r="B108" s="156"/>
      <c r="C108" s="156"/>
      <c r="D108" s="156"/>
      <c r="E108" s="156"/>
      <c r="F108" s="156"/>
      <c r="G108" s="156"/>
      <c r="H108" s="156"/>
      <c r="I108" s="156"/>
    </row>
    <row r="109" spans="1:9" ht="15" x14ac:dyDescent="0.25">
      <c r="A109" s="17" t="s">
        <v>217</v>
      </c>
    </row>
    <row r="110" spans="1:9" ht="15" x14ac:dyDescent="0.25">
      <c r="A110" s="17" t="s">
        <v>202</v>
      </c>
    </row>
    <row r="112" spans="1:9" ht="15" x14ac:dyDescent="0.25">
      <c r="A112" s="46" t="s">
        <v>207</v>
      </c>
    </row>
    <row r="113" spans="1:1" ht="15" x14ac:dyDescent="0.25">
      <c r="A113" s="46" t="s">
        <v>208</v>
      </c>
    </row>
  </sheetData>
  <mergeCells count="1">
    <mergeCell ref="A12:B12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N22"/>
  <sheetViews>
    <sheetView workbookViewId="0">
      <selection activeCell="A9" sqref="A9"/>
    </sheetView>
  </sheetViews>
  <sheetFormatPr defaultRowHeight="14.25" x14ac:dyDescent="0.2"/>
  <cols>
    <col min="1" max="1" width="25.42578125" style="18" customWidth="1"/>
    <col min="2" max="2" width="13.140625" style="18" customWidth="1"/>
    <col min="3" max="5" width="10.140625" style="18" bestFit="1" customWidth="1"/>
    <col min="6" max="6" width="9.42578125" style="18" customWidth="1"/>
    <col min="7" max="7" width="14.5703125" style="18" bestFit="1" customWidth="1"/>
    <col min="8" max="8" width="19" style="18" bestFit="1" customWidth="1"/>
    <col min="9" max="12" width="9.140625" style="18"/>
    <col min="13" max="13" width="11.7109375" style="18" customWidth="1"/>
    <col min="14" max="14" width="14" style="18" customWidth="1"/>
    <col min="15" max="16384" width="9.140625" style="18"/>
  </cols>
  <sheetData>
    <row r="1" spans="1:14" ht="15" x14ac:dyDescent="0.25">
      <c r="A1" s="17" t="s">
        <v>167</v>
      </c>
    </row>
    <row r="3" spans="1:14" x14ac:dyDescent="0.2">
      <c r="A3" s="18" t="s">
        <v>17</v>
      </c>
      <c r="B3" s="18" t="s">
        <v>175</v>
      </c>
    </row>
    <row r="4" spans="1:14" x14ac:dyDescent="0.2">
      <c r="A4" s="18" t="s">
        <v>176</v>
      </c>
      <c r="B4" s="18" t="s">
        <v>177</v>
      </c>
    </row>
    <row r="5" spans="1:14" x14ac:dyDescent="0.2">
      <c r="A5" s="18" t="s">
        <v>198</v>
      </c>
      <c r="B5" s="18" t="s">
        <v>200</v>
      </c>
    </row>
    <row r="6" spans="1:14" ht="15" thickBot="1" x14ac:dyDescent="0.25">
      <c r="A6" s="191"/>
      <c r="B6" s="191" t="s">
        <v>199</v>
      </c>
      <c r="C6" s="191"/>
      <c r="D6" s="191"/>
      <c r="E6" s="191"/>
      <c r="F6" s="191"/>
      <c r="G6" s="191"/>
      <c r="H6" s="191"/>
      <c r="I6" s="191"/>
      <c r="J6" s="191"/>
      <c r="K6" s="191"/>
      <c r="L6" s="191"/>
      <c r="M6" s="191"/>
      <c r="N6" s="191"/>
    </row>
    <row r="7" spans="1:14" ht="15" thickTop="1" x14ac:dyDescent="0.2"/>
    <row r="8" spans="1:14" ht="18" x14ac:dyDescent="0.25">
      <c r="A8" s="108" t="str">
        <f>'1-Serie uit 0-lijst'!A1</f>
        <v>MiSeq Exp DL070</v>
      </c>
      <c r="B8" s="19" t="s">
        <v>35</v>
      </c>
    </row>
    <row r="9" spans="1:14" ht="15" thickBot="1" x14ac:dyDescent="0.25">
      <c r="A9" s="18" t="s">
        <v>185</v>
      </c>
      <c r="F9" s="61"/>
      <c r="G9" s="61"/>
      <c r="H9" s="61"/>
      <c r="J9" s="61"/>
      <c r="M9" s="190"/>
    </row>
    <row r="10" spans="1:14" s="24" customFormat="1" ht="13.5" thickTop="1" x14ac:dyDescent="0.2">
      <c r="A10" s="208"/>
      <c r="B10" s="154" t="s">
        <v>222</v>
      </c>
    </row>
    <row r="11" spans="1:14" s="24" customFormat="1" ht="13.5" thickBot="1" x14ac:dyDescent="0.25">
      <c r="A11" s="209" t="s">
        <v>16</v>
      </c>
      <c r="B11" s="155">
        <v>145</v>
      </c>
    </row>
    <row r="12" spans="1:14" s="24" customFormat="1" thickTop="1" thickBot="1" x14ac:dyDescent="0.25"/>
    <row r="13" spans="1:14" s="24" customFormat="1" ht="13.5" thickTop="1" x14ac:dyDescent="0.2">
      <c r="A13" s="210" t="s">
        <v>187</v>
      </c>
      <c r="B13" s="211" t="s">
        <v>188</v>
      </c>
      <c r="C13" s="211"/>
      <c r="D13" s="211"/>
      <c r="E13" s="211"/>
      <c r="F13" s="65"/>
      <c r="G13" s="64"/>
    </row>
    <row r="14" spans="1:14" s="24" customFormat="1" ht="13.5" thickBot="1" x14ac:dyDescent="0.25">
      <c r="A14" s="212" t="s">
        <v>189</v>
      </c>
      <c r="B14" s="213" t="s">
        <v>190</v>
      </c>
      <c r="C14" s="213"/>
      <c r="D14" s="213"/>
      <c r="E14" s="213"/>
      <c r="F14" s="214"/>
      <c r="G14" s="66"/>
    </row>
    <row r="15" spans="1:14" s="24" customFormat="1" thickTop="1" thickBot="1" x14ac:dyDescent="0.25"/>
    <row r="16" spans="1:14" s="24" customFormat="1" thickTop="1" thickBot="1" x14ac:dyDescent="0.25">
      <c r="A16" s="215"/>
      <c r="B16" s="109" t="str">
        <f t="shared" ref="B16" si="0">+B10</f>
        <v>DLv2</v>
      </c>
    </row>
    <row r="17" spans="1:2" s="24" customFormat="1" ht="12.75" x14ac:dyDescent="0.2">
      <c r="A17" s="216" t="s">
        <v>186</v>
      </c>
      <c r="B17" s="217">
        <v>40</v>
      </c>
    </row>
    <row r="18" spans="1:2" s="24" customFormat="1" ht="12.75" x14ac:dyDescent="0.2">
      <c r="A18" s="12"/>
      <c r="B18" s="218"/>
    </row>
    <row r="19" spans="1:2" s="24" customFormat="1" ht="12.75" x14ac:dyDescent="0.2">
      <c r="A19" s="216" t="s">
        <v>17</v>
      </c>
      <c r="B19" s="219">
        <f t="shared" ref="B19" si="1">+B17*B11</f>
        <v>5800</v>
      </c>
    </row>
    <row r="20" spans="1:2" s="24" customFormat="1" ht="12.75" x14ac:dyDescent="0.2">
      <c r="A20" s="12"/>
      <c r="B20" s="218"/>
    </row>
    <row r="21" spans="1:2" s="24" customFormat="1" ht="13.5" thickBot="1" x14ac:dyDescent="0.25">
      <c r="A21" s="220" t="s">
        <v>18</v>
      </c>
      <c r="B21" s="221"/>
    </row>
    <row r="22" spans="1:2" ht="15" thickTop="1" x14ac:dyDescent="0.2"/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>
    <pageSetUpPr fitToPage="1"/>
  </sheetPr>
  <dimension ref="A1:G20"/>
  <sheetViews>
    <sheetView tabSelected="1" workbookViewId="0">
      <selection activeCell="C17" sqref="C17"/>
    </sheetView>
  </sheetViews>
  <sheetFormatPr defaultRowHeight="15" x14ac:dyDescent="0.25"/>
  <cols>
    <col min="1" max="1" width="38.7109375" bestFit="1" customWidth="1"/>
    <col min="2" max="2" width="11" bestFit="1" customWidth="1"/>
    <col min="3" max="3" width="12.7109375" bestFit="1" customWidth="1"/>
    <col min="4" max="4" width="28" bestFit="1" customWidth="1"/>
    <col min="5" max="5" width="11.5703125" customWidth="1"/>
    <col min="6" max="6" width="15" bestFit="1" customWidth="1"/>
    <col min="7" max="7" width="16.7109375" customWidth="1"/>
  </cols>
  <sheetData>
    <row r="1" spans="1:7" x14ac:dyDescent="0.25">
      <c r="A1" s="8" t="s">
        <v>19</v>
      </c>
      <c r="B1" s="3"/>
      <c r="C1" s="3"/>
      <c r="D1" s="1"/>
    </row>
    <row r="2" spans="1:7" ht="15.75" thickBot="1" x14ac:dyDescent="0.3">
      <c r="A2" s="5"/>
      <c r="B2" s="3"/>
      <c r="C2" s="3"/>
    </row>
    <row r="3" spans="1:7" x14ac:dyDescent="0.25">
      <c r="A3" s="9" t="s">
        <v>20</v>
      </c>
      <c r="B3" s="3"/>
      <c r="C3" s="3"/>
    </row>
    <row r="4" spans="1:7" x14ac:dyDescent="0.25">
      <c r="A4" s="10" t="s">
        <v>21</v>
      </c>
      <c r="B4" s="3"/>
      <c r="C4" s="3"/>
    </row>
    <row r="5" spans="1:7" ht="15.75" thickBot="1" x14ac:dyDescent="0.3">
      <c r="A5" s="100" t="s">
        <v>22</v>
      </c>
      <c r="B5" s="3"/>
      <c r="C5" s="3" t="s">
        <v>23</v>
      </c>
    </row>
    <row r="6" spans="1:7" ht="15.75" thickBot="1" x14ac:dyDescent="0.3">
      <c r="A6" s="101"/>
      <c r="B6" s="3"/>
      <c r="C6" s="3"/>
    </row>
    <row r="7" spans="1:7" x14ac:dyDescent="0.25">
      <c r="A7" s="11" t="s">
        <v>24</v>
      </c>
      <c r="B7" s="3"/>
      <c r="C7" s="3"/>
    </row>
    <row r="8" spans="1:7" ht="15.75" thickBot="1" x14ac:dyDescent="0.3">
      <c r="A8" s="100" t="s">
        <v>25</v>
      </c>
      <c r="B8" s="3"/>
      <c r="C8" s="3"/>
    </row>
    <row r="9" spans="1:7" ht="15.75" thickBot="1" x14ac:dyDescent="0.3">
      <c r="A9" s="5"/>
      <c r="B9" s="3"/>
      <c r="C9" s="3"/>
      <c r="D9" s="67"/>
    </row>
    <row r="10" spans="1:7" x14ac:dyDescent="0.25">
      <c r="A10" s="102" t="s">
        <v>27</v>
      </c>
      <c r="B10" s="103"/>
      <c r="C10" s="103"/>
      <c r="D10" s="104"/>
    </row>
    <row r="11" spans="1:7" ht="15.75" thickBot="1" x14ac:dyDescent="0.3">
      <c r="A11" s="105" t="s">
        <v>195</v>
      </c>
      <c r="B11" s="106"/>
      <c r="C11" s="106"/>
      <c r="D11" s="107"/>
    </row>
    <row r="12" spans="1:7" ht="15.75" thickBot="1" x14ac:dyDescent="0.3">
      <c r="A12" s="7"/>
      <c r="B12" s="7"/>
      <c r="C12" s="7"/>
      <c r="D12" s="7"/>
      <c r="E12" s="7"/>
      <c r="F12" s="7"/>
      <c r="G12" s="110"/>
    </row>
    <row r="13" spans="1:7" x14ac:dyDescent="0.25">
      <c r="A13" s="3"/>
      <c r="B13" s="3"/>
      <c r="C13" s="3"/>
      <c r="D13" s="3"/>
      <c r="E13" s="3"/>
      <c r="F13" s="3"/>
      <c r="G13" s="3"/>
    </row>
    <row r="14" spans="1:7" ht="26.25" x14ac:dyDescent="0.25">
      <c r="A14" s="225" t="str">
        <f>'1-Serie uit 0-lijst'!A1</f>
        <v>MiSeq Exp DL070</v>
      </c>
      <c r="B14" s="34" t="s">
        <v>36</v>
      </c>
      <c r="C14" s="3"/>
      <c r="D14" s="3"/>
      <c r="E14" s="32" t="s">
        <v>197</v>
      </c>
      <c r="F14" s="3"/>
      <c r="G14" s="3"/>
    </row>
    <row r="15" spans="1:7" ht="26.25" x14ac:dyDescent="0.25">
      <c r="A15" s="25" t="s">
        <v>28</v>
      </c>
      <c r="B15" s="26" t="s">
        <v>26</v>
      </c>
      <c r="C15" s="25" t="s">
        <v>29</v>
      </c>
      <c r="D15" s="25" t="s">
        <v>30</v>
      </c>
      <c r="E15" s="25" t="s">
        <v>31</v>
      </c>
      <c r="F15" s="25" t="s">
        <v>32</v>
      </c>
    </row>
    <row r="16" spans="1:7" x14ac:dyDescent="0.25">
      <c r="A16" s="29" t="str">
        <f>+'[1]7-Berekening mengverh. captures'!B16</f>
        <v>DLv2</v>
      </c>
      <c r="B16" s="222">
        <v>31.4</v>
      </c>
      <c r="C16" s="223">
        <v>386</v>
      </c>
      <c r="D16" s="30">
        <f t="shared" ref="D16:D20" si="0">(B16*1000)*((10^6)/1)*(1/660)*(1/C16)</f>
        <v>123253.25796828388</v>
      </c>
      <c r="E16" s="224">
        <v>10</v>
      </c>
      <c r="F16" s="28">
        <f t="shared" ref="F16:F20" si="1">((D16*E16)/50000)-E16</f>
        <v>14.650651593656779</v>
      </c>
    </row>
    <row r="17" spans="1:6" x14ac:dyDescent="0.25">
      <c r="A17" s="29" t="e">
        <f>'7-Berekening mengverh. captures'!#REF!</f>
        <v>#REF!</v>
      </c>
      <c r="B17" s="27"/>
      <c r="C17" s="31"/>
      <c r="D17" s="30" t="e">
        <f t="shared" si="0"/>
        <v>#DIV/0!</v>
      </c>
      <c r="E17" s="33">
        <v>10</v>
      </c>
      <c r="F17" s="28" t="e">
        <f t="shared" si="1"/>
        <v>#DIV/0!</v>
      </c>
    </row>
    <row r="18" spans="1:6" x14ac:dyDescent="0.25">
      <c r="A18" s="29" t="e">
        <f>'7-Berekening mengverh. captures'!#REF!</f>
        <v>#REF!</v>
      </c>
      <c r="B18" s="27"/>
      <c r="C18" s="31"/>
      <c r="D18" s="30" t="e">
        <f t="shared" si="0"/>
        <v>#DIV/0!</v>
      </c>
      <c r="E18" s="33">
        <v>10</v>
      </c>
      <c r="F18" s="28" t="e">
        <f t="shared" si="1"/>
        <v>#DIV/0!</v>
      </c>
    </row>
    <row r="19" spans="1:6" x14ac:dyDescent="0.25">
      <c r="A19" s="29" t="e">
        <f>'7-Berekening mengverh. captures'!#REF!</f>
        <v>#REF!</v>
      </c>
      <c r="B19" s="27"/>
      <c r="C19" s="31"/>
      <c r="D19" s="30" t="e">
        <f t="shared" si="0"/>
        <v>#DIV/0!</v>
      </c>
      <c r="E19" s="33">
        <v>10</v>
      </c>
      <c r="F19" s="28" t="e">
        <f t="shared" si="1"/>
        <v>#DIV/0!</v>
      </c>
    </row>
    <row r="20" spans="1:6" x14ac:dyDescent="0.25">
      <c r="A20" s="29" t="e">
        <f>'7-Berekening mengverh. captures'!#REF!</f>
        <v>#REF!</v>
      </c>
      <c r="B20" s="27"/>
      <c r="C20" s="31"/>
      <c r="D20" s="30" t="e">
        <f t="shared" si="0"/>
        <v>#DIV/0!</v>
      </c>
      <c r="E20" s="33">
        <v>10</v>
      </c>
      <c r="F20" s="28" t="e">
        <f t="shared" si="1"/>
        <v>#DIV/0!</v>
      </c>
    </row>
  </sheetData>
  <pageMargins left="0.7" right="0.7" top="0.75" bottom="0.75" header="0.3" footer="0.3"/>
  <pageSetup paperSize="9" scale="7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2</vt:i4>
      </vt:variant>
    </vt:vector>
  </HeadingPairs>
  <TitlesOfParts>
    <vt:vector size="9" baseType="lpstr">
      <vt:lpstr>1-Serie uit 0-lijst</vt:lpstr>
      <vt:lpstr>2-DNA voor shearen</vt:lpstr>
      <vt:lpstr>4-Overpipetteren naar snapcap</vt:lpstr>
      <vt:lpstr>5-Library met Index</vt:lpstr>
      <vt:lpstr>6-Indeling van de capture</vt:lpstr>
      <vt:lpstr>7-Berekening mengverh. captures</vt:lpstr>
      <vt:lpstr>8-MiSeq</vt:lpstr>
      <vt:lpstr>'2-DNA voor shearen'!Afdrukbereik</vt:lpstr>
      <vt:lpstr>'5-Library met Index'!Afdrukbereik</vt:lpstr>
    </vt:vector>
  </TitlesOfParts>
  <Company>AMC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K.N. de Groot</dc:creator>
  <cp:lastModifiedBy>L. van de Kerkhof</cp:lastModifiedBy>
  <cp:lastPrinted>2017-08-28T08:00:21Z</cp:lastPrinted>
  <dcterms:created xsi:type="dcterms:W3CDTF">2013-12-10T13:58:38Z</dcterms:created>
  <dcterms:modified xsi:type="dcterms:W3CDTF">2017-09-01T12:51:22Z</dcterms:modified>
</cp:coreProperties>
</file>